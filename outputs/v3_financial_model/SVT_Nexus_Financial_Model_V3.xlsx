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8b138a066d54506" /></Relationships>
</file>

<file path=xl/workbook.xml><?xml version="1.0" encoding="utf-8"?>
<x:workbook xmlns:x="http://schemas.openxmlformats.org/spreadsheetml/2006/main">
  <x:sheets>
    <x:sheet xmlns:r="http://schemas.openxmlformats.org/officeDocument/2006/relationships" name="Assumptions" sheetId="1" r:id="Rf7853ea2f561480c"/>
    <x:sheet xmlns:r="http://schemas.openxmlformats.org/officeDocument/2006/relationships" name="Client Ramp" sheetId="2" r:id="R30c1696a00154392"/>
    <x:sheet xmlns:r="http://schemas.openxmlformats.org/officeDocument/2006/relationships" name="Revenue Model" sheetId="3" r:id="Ra961d9845b6f4003"/>
    <x:sheet xmlns:r="http://schemas.openxmlformats.org/officeDocument/2006/relationships" name="Operating Model" sheetId="4" r:id="R977afd76c88b4f53"/>
    <x:sheet xmlns:r="http://schemas.openxmlformats.org/officeDocument/2006/relationships" name="Convertible Note" sheetId="5" r:id="R2eaaacc5b12b4bd8"/>
    <x:sheet xmlns:r="http://schemas.openxmlformats.org/officeDocument/2006/relationships" name="Income Statement" sheetId="6" r:id="R4dca010e759f4ed6"/>
    <x:sheet xmlns:r="http://schemas.openxmlformats.org/officeDocument/2006/relationships" name="Cash Flow" sheetId="7" r:id="R0214febda36e4328"/>
    <x:sheet xmlns:r="http://schemas.openxmlformats.org/officeDocument/2006/relationships" name="Use of Proceeds" sheetId="8" r:id="R3f05dabd734043dc"/>
    <x:sheet xmlns:r="http://schemas.openxmlformats.org/officeDocument/2006/relationships" name="Scenario Analysis" sheetId="9" r:id="Rf855a5e2c1f94bdc"/>
    <x:sheet xmlns:r="http://schemas.openxmlformats.org/officeDocument/2006/relationships" name="Break-Even" sheetId="10" r:id="R07c8314ac3604213"/>
    <x:sheet xmlns:r="http://schemas.openxmlformats.org/officeDocument/2006/relationships" name="Sales Funnel" sheetId="11" r:id="R79f3d0eba8d842d9"/>
    <x:sheet xmlns:r="http://schemas.openxmlformats.org/officeDocument/2006/relationships" name="Tax &amp; 163j" sheetId="12" r:id="R272532016c854674"/>
    <x:sheet xmlns:r="http://schemas.openxmlformats.org/officeDocument/2006/relationships" name="Compliance Roadmap" sheetId="13" r:id="R770b63cbcbd9471b"/>
    <x:sheet xmlns:r="http://schemas.openxmlformats.org/officeDocument/2006/relationships" name="Investor Summary" sheetId="14" r:id="Ra42363ef239344f6"/>
  </x:sheets>
</x:workbook>
</file>

<file path=xl/comments1.xml><?xml version="1.0" encoding="utf-8"?>
<x:comments xmlns:x="http://schemas.openxmlformats.org/spreadsheetml/2006/main">
  <x:authors>
    <x:author>tc={A622BEDE-7A2D-7097-D81C-9284E090E2C7}</x:author>
    <x:author>tc={17C0A7E3-F77B-A7E7-7EC3-9022213C9ABD}</x:author>
    <x:author>tc={BC4BDFFB-BBB2-E190-6EB5-24D94DB1DF10}</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Proposed 4% cash coupon. The separate 5% PIK rate is shown in B24; together they preserve the 9% total contractual yield assumption before effective-interest adjustments.</x:t>
        </x:r>
      </x:text>
    </x:comment>
    <x:comment ref="B8" authorId="1">
      <x:text>
        <x:r>
          <x:t>[Threaded comment]
Your version of Excel allows you to read this threaded comment; however, any edits to it will get removed if the file is opened in a newer version of Excel. Learn more: https://go.microsoft.com/fwlink/?linkid=870924
Comment:
    Illustrative conversion terms are disclosed, but no qualifying financing or conversion event is forecast through 2029.</x:t>
        </x:r>
      </x:text>
    </x:comment>
    <x:comment ref="B16" authorId="2">
      <x:text>
        <x:r>
          <x:t>[Threaded comment]
Your version of Excel allows you to read this threaded comment; however, any edits to it will get removed if the file is opened in a newer version of Excel. Learn more: https://go.microsoft.com/fwlink/?linkid=870924
Comment:
    Management target is shown separately from the Base Case and is not treated as contracted revenue.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Red]($#,##0);-"/>
    <x:numFmt numFmtId="201" formatCode="0.0%"/>
    <x:numFmt numFmtId="202" formatCode="0"/>
    <x:numFmt numFmtId="203" formatCode="General"/>
    <x:numFmt numFmtId="204" formatCode="mmm d, yyyy"/>
    <x:numFmt numFmtId="205" formatCode="0.0"/>
    <x:numFmt numFmtId="206" formatCode="mmm-yy"/>
  </x:numFmts>
  <x:fonts count="11">
    <x:font>
      <x:sz val="11"/>
      <x:name val="Carlito"/>
    </x:font>
    <x:font>
      <x:b/>
      <x:sz val="16"/>
      <x:color rgb="FFFFFFFF"/>
      <x:name val="Carlito"/>
    </x:font>
    <x:font>
      <x:i/>
      <x:sz val="9"/>
      <x:color rgb="FF16324F"/>
      <x:name val="Carlito"/>
    </x:font>
    <x:font>
      <x:b/>
      <x:sz val="11"/>
      <x:color rgb="FFFFFFFF"/>
      <x:name val="Carlito"/>
    </x:font>
    <x:font>
      <x:b/>
      <x:sz val="10"/>
      <x:color rgb="FFFFFFFF"/>
      <x:name val="Aptos"/>
    </x:font>
    <x:font>
      <x:sz val="10"/>
      <x:name val="Aptos"/>
    </x:font>
    <x:font>
      <x:i/>
      <x:sz val="11"/>
      <x:color rgb="FF7A2E0E"/>
      <x:name val="Carlito"/>
    </x:font>
    <x:font>
      <x:i/>
      <x:sz val="10"/>
      <x:color rgb="FF7A2E0E"/>
      <x:name val="Aptos"/>
    </x:font>
    <x:font>
      <x:b/>
      <x:sz val="11"/>
      <x:color rgb="FF16324F"/>
      <x:name val="Carlito"/>
    </x:font>
    <x:font>
      <x:i/>
      <x:sz val="10"/>
      <x:color rgb="FF16324F"/>
      <x:name val="Aptos"/>
    </x:font>
    <x:font>
      <x:b/>
      <x:sz val="10"/>
      <x:color rgb="FF16324F"/>
      <x:name val="Aptos"/>
    </x:font>
  </x:fonts>
  <x:fills count="7">
    <x:fill>
      <x:patternFill patternType="none"/>
    </x:fill>
    <x:fill>
      <x:patternFill patternType="gray125"/>
    </x:fill>
    <x:fill>
      <x:patternFill patternType="solid">
        <x:fgColor rgb="FF16324F"/>
      </x:patternFill>
    </x:fill>
    <x:fill>
      <x:patternFill patternType="solid">
        <x:fgColor rgb="FFDCE7F0"/>
      </x:patternFill>
    </x:fill>
    <x:fill>
      <x:patternFill patternType="solid">
        <x:fgColor rgb="FF1B7F79"/>
      </x:patternFill>
    </x:fill>
    <x:fill>
      <x:patternFill patternType="solid">
        <x:fgColor rgb="FFFFF4E5"/>
      </x:patternFill>
    </x:fill>
    <x:fill>
      <x:patternFill patternType="solid">
        <x:fgColor rgb="FFEAF4F3"/>
      </x:patternFill>
    </x:fill>
  </x:fills>
  <x:borders count="1">
    <x:border/>
  </x:borders>
  <x:cellStyleXfs count="1">
    <x:xf numFmtId="0" fontId="0" fillId="0" borderId="0"/>
  </x:cellStyleXfs>
  <x:cellXfs count="6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0" fontId="4" fillId="4" borderId="0" xfId="0" applyNumberFormat="1" applyFont="1" applyFill="1" applyBorder="1" applyAlignment="1">
      <x:alignment vertical="center" wrapText="1"/>
    </x:xf>
    <x:xf numFmtId="0" fontId="5" fillId="0" borderId="0" xfId="0" applyNumberFormat="1" applyFont="1" applyFill="1" applyBorder="1"/>
    <x:xf numFmtId="200" fontId="5" fillId="0" borderId="0" xfId="0" applyNumberFormat="1" applyFont="1" applyFill="1" applyBorder="1"/>
    <x:xf numFmtId="201" fontId="5" fillId="0" borderId="0" xfId="0" applyNumberFormat="1" applyFont="1" applyFill="1" applyBorder="1"/>
    <x:xf numFmtId="202" fontId="5" fillId="0" borderId="0" xfId="0" applyNumberFormat="1" applyFont="1" applyFill="1" applyBorder="1"/>
    <x:xf numFmtId="203" fontId="5" fillId="0"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7" fillId="5" borderId="0" xfId="0" applyNumberFormat="1" applyFont="1" applyFill="1" applyBorder="1" applyAlignment="1">
      <x:alignment wrapText="1"/>
    </x:xf>
    <x:xf numFmtId="205" fontId="0" fillId="0" borderId="0" xfId="0" applyNumberFormat="1" applyFont="1" applyFill="1" applyBorder="1"/>
    <x:xf numFmtId="0" fontId="0" fillId="6" borderId="0" xfId="0" applyNumberFormat="1" applyFont="1" applyFill="1" applyBorder="1"/>
    <x:xf numFmtId="0" fontId="8" fillId="6" borderId="0" xfId="0" applyNumberFormat="1" applyFont="1" applyFill="1" applyBorder="1"/>
    <x:xf numFmtId="0" fontId="3" fillId="4" borderId="0" xfId="0" applyNumberFormat="1" applyFont="1" applyFill="1" applyBorder="1" applyAlignment="1">
      <x:alignment horizontal="center"/>
    </x:xf>
    <x:xf numFmtId="206" fontId="3" fillId="4" borderId="0" xfId="0" applyNumberFormat="1" applyFont="1" applyFill="1" applyBorder="1" applyAlignment="1">
      <x:alignment horizontal="center"/>
    </x:xf>
    <x:xf numFmtId="200" fontId="8" fillId="6" borderId="0" xfId="0" applyNumberFormat="1" applyFont="1" applyFill="1" applyBorder="1"/>
    <x:xf numFmtId="0" fontId="4" fillId="2" borderId="0" xfId="0" applyNumberFormat="1" applyFont="1" applyFill="1" applyBorder="1" applyAlignment="1">
      <x:alignment vertical="center"/>
    </x:xf>
    <x:xf numFmtId="0" fontId="9" fillId="3" borderId="0" xfId="0" applyNumberFormat="1" applyFont="1" applyFill="1" applyBorder="1"/>
    <x:xf numFmtId="206" fontId="4" fillId="4" borderId="0" xfId="0" applyNumberFormat="1" applyFont="1" applyFill="1" applyBorder="1" applyAlignment="1">
      <x:alignment horizontal="center"/>
    </x:xf>
    <x:xf numFmtId="0" fontId="10" fillId="6" borderId="0" xfId="0" applyNumberFormat="1" applyFont="1" applyFill="1" applyBorder="1"/>
    <x:xf numFmtId="200" fontId="10" fillId="6" borderId="0" xfId="0" applyNumberFormat="1" applyFont="1" applyFill="1" applyBorder="1"/>
    <x:xf numFmtId="206" fontId="3" fillId="4" borderId="0" xfId="0" applyNumberFormat="1" applyFont="1" applyFill="1" applyBorder="1"/>
    <x:xf numFmtId="201" fontId="8" fillId="6" borderId="0" xfId="0" applyNumberFormat="1" applyFont="1" applyFill="1" applyBorder="1"/>
    <x:xf numFmtId="200" fontId="0" fillId="6" borderId="0" xfId="0" applyNumberFormat="1" applyFont="1" applyFill="1" applyBorder="1"/>
    <x:xf numFmtId="0" fontId="6" fillId="5" borderId="0" xfId="0" applyNumberFormat="1" applyFont="1" applyFill="1" applyBorder="1" applyAlignment="1">
      <x:alignment vertical="top" wrapText="1"/>
    </x:xf>
    <x:xf numFmtId="0" fontId="0" fillId="0" borderId="0" xfId="0" applyNumberFormat="1" applyFont="1" applyFill="1" applyBorder="1" applyAlignment="1">
      <x:alignment wrapText="1"/>
    </x:xf>
    <x:xf numFmtId="204" fontId="5" fillId="0" borderId="0" xfId="0" applyNumberFormat="1" applyFont="1" applyFill="1" applyBorder="1"/>
    <x:xf numFmtId="0" fontId="9" fillId="3" borderId="0" xfId="0" applyNumberFormat="1" applyFont="1" applyFill="1" applyBorder="1" applyAlignment="1">
      <x:alignment vertical="center"/>
    </x:xf>
    <x:xf numFmtId="0" fontId="5"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203" fontId="5" fillId="0" borderId="0" xfId="0" applyNumberFormat="1" applyFont="1" applyFill="1" applyBorder="1" applyAlignment="1">
      <x:alignment vertical="center"/>
    </x:xf>
    <x:xf numFmtId="204" fontId="5" fillId="0" borderId="0" xfId="0" applyNumberFormat="1" applyFont="1" applyFill="1" applyBorder="1" applyAlignment="1">
      <x:alignment vertical="center"/>
    </x:xf>
    <x:xf numFmtId="0" fontId="7" fillId="5" borderId="0" xfId="0" applyNumberFormat="1" applyFont="1" applyFill="1" applyBorder="1" applyAlignment="1">
      <x:alignment vertical="center" wrapText="1"/>
    </x:xf>
    <x:xf numFmtId="206" fontId="4" fillId="4" borderId="0" xfId="0" applyNumberFormat="1" applyFont="1" applyFill="1" applyBorder="1" applyAlignment="1">
      <x:alignment horizontal="center" vertical="center"/>
    </x:xf>
    <x:xf numFmtId="0" fontId="10" fillId="6" borderId="0" xfId="0" applyNumberFormat="1" applyFont="1" applyFill="1" applyBorder="1" applyAlignment="1">
      <x:alignment vertical="center"/>
    </x:xf>
    <x:xf numFmtId="200" fontId="10" fillId="6" borderId="0" xfId="0" applyNumberFormat="1" applyFont="1" applyFill="1" applyBorder="1" applyAlignment="1">
      <x:alignment vertical="center"/>
    </x:xf>
    <x:xf numFmtId="201" fontId="10" fillId="6" borderId="0" xfId="0" applyNumberFormat="1" applyFont="1" applyFill="1" applyBorder="1"/>
    <x:xf numFmtId="201" fontId="10" fillId="6" borderId="0" xfId="0" applyNumberFormat="1" applyFont="1" applyFill="1" applyBorder="1" applyAlignment="1">
      <x:alignment vertical="center"/>
    </x:xf>
    <x:xf numFmtId="205" fontId="5" fillId="0" borderId="0" xfId="0" applyNumberFormat="1" applyFont="1" applyFill="1" applyBorder="1"/>
    <x:xf numFmtId="205" fontId="5" fillId="0" borderId="0" xfId="0" applyNumberFormat="1" applyFont="1" applyFill="1" applyBorder="1" applyAlignment="1">
      <x:alignment vertical="center"/>
    </x:xf>
    <x:xf numFmtId="0" fontId="7" fillId="5" borderId="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3dcbf4aeb3438d" /><Relationship Type="http://schemas.openxmlformats.org/officeDocument/2006/relationships/theme" Target="/xl/theme/theme1.xml" Id="Rb1a4c4017800405b" /><Relationship Type="http://schemas.openxmlformats.org/officeDocument/2006/relationships/sharedStrings" Target="/xl/sharedStrings.xml" Id="R8c3033d8cb624299" /><Relationship Type="http://schemas.openxmlformats.org/officeDocument/2006/relationships/worksheet" Target="/xl/worksheets/sheet1.xml" Id="Rf7853ea2f561480c" /><Relationship Type="http://schemas.openxmlformats.org/officeDocument/2006/relationships/worksheet" Target="/xl/worksheets/sheet2.xml" Id="R30c1696a00154392" /><Relationship Type="http://schemas.openxmlformats.org/officeDocument/2006/relationships/worksheet" Target="/xl/worksheets/sheet3.xml" Id="Ra961d9845b6f4003" /><Relationship Type="http://schemas.openxmlformats.org/officeDocument/2006/relationships/worksheet" Target="/xl/worksheets/sheet4.xml" Id="R977afd76c88b4f53" /><Relationship Type="http://schemas.openxmlformats.org/officeDocument/2006/relationships/worksheet" Target="/xl/worksheets/sheet5.xml" Id="R2eaaacc5b12b4bd8" /><Relationship Type="http://schemas.openxmlformats.org/officeDocument/2006/relationships/worksheet" Target="/xl/worksheets/sheet6.xml" Id="R4dca010e759f4ed6" /><Relationship Type="http://schemas.openxmlformats.org/officeDocument/2006/relationships/worksheet" Target="/xl/worksheets/sheet7.xml" Id="R0214febda36e4328" /><Relationship Type="http://schemas.openxmlformats.org/officeDocument/2006/relationships/worksheet" Target="/xl/worksheets/sheet8.xml" Id="R3f05dabd734043dc" /><Relationship Type="http://schemas.openxmlformats.org/officeDocument/2006/relationships/worksheet" Target="/xl/worksheets/sheet9.xml" Id="Rf855a5e2c1f94bdc" /><Relationship Type="http://schemas.openxmlformats.org/officeDocument/2006/relationships/worksheet" Target="/xl/worksheets/sheet10.xml" Id="R07c8314ac3604213" /><Relationship Type="http://schemas.openxmlformats.org/officeDocument/2006/relationships/worksheet" Target="/xl/worksheets/sheet11.xml" Id="R79f3d0eba8d842d9" /><Relationship Type="http://schemas.openxmlformats.org/officeDocument/2006/relationships/worksheet" Target="/xl/worksheets/sheet12.xml" Id="R272532016c854674" /><Relationship Type="http://schemas.openxmlformats.org/officeDocument/2006/relationships/worksheet" Target="/xl/worksheets/sheet13.xml" Id="R770b63cbcbd9471b" /><Relationship Type="http://schemas.openxmlformats.org/officeDocument/2006/relationships/worksheet" Target="/xl/worksheets/sheet14.xml" Id="Ra42363ef239344f6" /><Relationship Type="http://schemas.microsoft.com/office/2017/10/relationships/person" Target="/xl/persons/person.xml" Id="Ra5f104b182c046fb" /></Relationships>
</file>

<file path=xl/persons/person.xml><?xml version="1.0" encoding="utf-8"?>
<xltc:personList xmlns:xltc="http://schemas.microsoft.com/office/spreadsheetml/2018/threadedcomments">
  <xltc:person displayName="User" id="{ABD8298C-B10E-46E6-9ADE-F3508F3D5FA5}"/>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6" dT="2026-08-22T04:15:24.561" personId="{ABD8298C-B10E-46E6-9ADE-F3508F3D5FA5}" id="{A622BEDE-7A2D-7097-D81C-9284E090E2C7}">
    <xltc:text>Proposed 4% cash coupon. The separate 5% PIK rate is shown in B24; together they preserve the 9% total contractual yield assumption before effective-interest adjustments.</xltc:text>
  </xltc:threadedComment>
  <xltc:threadedComment ref="B8" dT="2026-08-22T04:15:24.563" personId="{ABD8298C-B10E-46E6-9ADE-F3508F3D5FA5}" id="{17C0A7E3-F77B-A7E7-7EC3-9022213C9ABD}">
    <xltc:text>Illustrative conversion terms are disclosed, but no qualifying financing or conversion event is forecast through 2029.</xltc:text>
  </xltc:threadedComment>
  <xltc:threadedComment ref="B16" dT="2026-08-22T04:15:24.563" personId="{ABD8298C-B10E-46E6-9ADE-F3508F3D5FA5}" id="{BC4BDFFB-BBB2-E190-6EB5-24D94DB1DF10}">
    <xltc:text>Management target is shown separately from the Base Case and is not treated as contracted revenue.</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01d2a96e3bfa40bb" /><Relationship Type="http://schemas.openxmlformats.org/officeDocument/2006/relationships/vmlDrawing" Target="/xl/drawings/vmldrawing.vml" Id="R6568926313f64184" /><Relationship Type="http://schemas.microsoft.com/office/2017/10/relationships/threadedComment" Target="/xl/threadedcomments/threadedcomment.xml" Id="Re0e1515adc184c7e"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20" hidden="0" customWidth="1"/>
    <x:col min="4" max="4" width="42" hidden="0" customWidth="1"/>
    <x:col min="6" max="6" width="37" hidden="0" customWidth="1"/>
    <x:col min="7" max="7" width="16" hidden="0" customWidth="1"/>
    <x:col min="8" max="8" width="21" hidden="0" customWidth="1"/>
  </x:cols>
  <x:sheetData>
    <x:row r="1" ht="30" customHeight="1">
      <x:c r="A1" s="31" t="str">
        <x:v>SVT Nexus — Version 3 Assumptions</x:v>
      </x:c>
      <x:c r="B1" s="31"/>
      <x:c r="C1" s="31"/>
      <x:c r="D1" s="31"/>
      <x:c r="E1" s="31"/>
      <x:c r="F1" s="31"/>
      <x:c r="G1" s="31"/>
      <x:c r="H1" s="31"/>
    </x:row>
    <x:row r="2">
      <x:c r="A2" s="42" t="str">
        <x:v>Version 3 | Model date: 21 Aug 2026 | Proposed structure — management and securities counsel review required</x:v>
      </x:c>
      <x:c r="B2" s="42"/>
      <x:c r="C2" s="42"/>
      <x:c r="D2" s="42"/>
      <x:c r="E2" s="42"/>
      <x:c r="F2" s="42"/>
      <x:c r="G2" s="42"/>
      <x:c r="H2" s="42"/>
    </x:row>
    <x:row r="3">
      <x:c r="A3" s="43"/>
      <x:c r="B3" s="43"/>
      <x:c r="C3" s="43"/>
      <x:c r="D3" s="43"/>
      <x:c r="E3" s="43"/>
      <x:c r="F3" s="43"/>
      <x:c r="G3" s="43"/>
      <x:c r="H3" s="43"/>
    </x:row>
    <x:row r="4">
      <x:c r="A4" s="15" t="str">
        <x:v>Financing assumption</x:v>
      </x:c>
      <x:c r="B4" s="15" t="str">
        <x:v>Value</x:v>
      </x:c>
      <x:c r="C4" s="15" t="str">
        <x:v>Classification</x:v>
      </x:c>
      <x:c r="D4" s="15" t="str">
        <x:v>Basis / disclosure</x:v>
      </x:c>
      <x:c r="E4" s="43"/>
      <x:c r="F4" s="15" t="str">
        <x:v>2027 operating expense</x:v>
      </x:c>
      <x:c r="G4" s="15" t="str">
        <x:v>Annual base</x:v>
      </x:c>
      <x:c r="H4" s="15" t="str">
        <x:v>Classification</x:v>
      </x:c>
    </x:row>
    <x:row r="5">
      <x:c r="A5" s="43" t="str">
        <x:v>Convertible Note principal</x:v>
      </x:c>
      <x:c r="B5" s="44" t="n">
        <x:v>3000000</x:v>
      </x:c>
      <x:c r="C5" s="43" t="str">
        <x:v>Management assumption</x:v>
      </x:c>
      <x:c r="D5" s="43" t="str">
        <x:v>Twelve tranches; checksum below</x:v>
      </x:c>
      <x:c r="E5" s="43"/>
      <x:c r="F5" s="43" t="str">
        <x:v>CEO compensation</x:v>
      </x:c>
      <x:c r="G5" s="44" t="n">
        <x:v>120000</x:v>
      </x:c>
      <x:c r="H5" s="43" t="str">
        <x:v>Management assumption</x:v>
      </x:c>
    </x:row>
    <x:row r="6">
      <x:c r="A6" s="43" t="str">
        <x:v>Cash coupon rate</x:v>
      </x:c>
      <x:c r="B6" s="45" t="n">
        <x:v>0.04</x:v>
      </x:c>
      <x:c r="C6" s="43" t="str">
        <x:v>Proposed term</x:v>
      </x:c>
      <x:c r="D6" s="43" t="str">
        <x:v>Accrues from actual receipt date; ACT/365</x:v>
      </x:c>
      <x:c r="E6" s="43"/>
      <x:c r="F6" s="43" t="str">
        <x:v>Other personnel / contractors</x:v>
      </x:c>
      <x:c r="G6" s="44" t="n">
        <x:v>600000</x:v>
      </x:c>
      <x:c r="H6" s="43" t="str">
        <x:v>Growth deployment</x:v>
      </x:c>
    </x:row>
    <x:row r="7">
      <x:c r="A7" s="43" t="str">
        <x:v>Cash interest frequency (months)</x:v>
      </x:c>
      <x:c r="B7" s="46" t="n">
        <x:v>3</x:v>
      </x:c>
      <x:c r="C7" s="43" t="str">
        <x:v>Definitive working term</x:v>
      </x:c>
      <x:c r="D7" s="43" t="str">
        <x:v>Quarterly payments; expense accrues monthly</x:v>
      </x:c>
      <x:c r="E7" s="43"/>
      <x:c r="F7" s="43" t="str">
        <x:v>Technology / AI / cloud</x:v>
      </x:c>
      <x:c r="G7" s="44" t="n">
        <x:v>180000</x:v>
      </x:c>
      <x:c r="H7" s="43" t="str">
        <x:v>Growth deployment</x:v>
      </x:c>
    </x:row>
    <x:row r="8">
      <x:c r="A8" s="43" t="str">
        <x:v>Conversion timing</x:v>
      </x:c>
      <x:c r="B8" s="47" t="str">
        <x:v>No modeled trigger through 2029</x:v>
      </x:c>
      <x:c r="C8" s="43" t="str">
        <x:v>Proposed modeling treatment</x:v>
      </x:c>
      <x:c r="D8" s="43" t="str">
        <x:v>Terms disclosed; conversion remains contingent</x:v>
      </x:c>
      <x:c r="E8" s="43"/>
      <x:c r="F8" s="43" t="str">
        <x:v>Sales &amp; marketing</x:v>
      </x:c>
      <x:c r="G8" s="44" t="n">
        <x:v>420000</x:v>
      </x:c>
      <x:c r="H8" s="43" t="str">
        <x:v>Growth deployment</x:v>
      </x:c>
    </x:row>
    <x:row r="9">
      <x:c r="A9" s="43" t="str">
        <x:v>Tax rate</x:v>
      </x:c>
      <x:c r="B9" s="45" t="n">
        <x:v>0.26</x:v>
      </x:c>
      <x:c r="C9" s="43" t="str">
        <x:v>Planning assumption</x:v>
      </x:c>
      <x:c r="D9" s="43" t="str">
        <x:v>Blended provision; confirm with tax adviser</x:v>
      </x:c>
      <x:c r="E9" s="43"/>
      <x:c r="F9" s="43" t="str">
        <x:v>Legal / accounting / audit / tax / compliance</x:v>
      </x:c>
      <x:c r="G9" s="44" t="n">
        <x:v>80000</x:v>
      </x:c>
      <x:c r="H9" s="43" t="str">
        <x:v>Planning estimate</x:v>
      </x:c>
    </x:row>
    <x:row r="10">
      <x:c r="A10" s="43" t="str">
        <x:v>Bad debt reserve</x:v>
      </x:c>
      <x:c r="B10" s="45" t="n">
        <x:v>0.02</x:v>
      </x:c>
      <x:c r="C10" s="43" t="str">
        <x:v>Analytical safeguard</x:v>
      </x:c>
      <x:c r="D10" s="43" t="str">
        <x:v>Applied to gross revenue</x:v>
      </x:c>
      <x:c r="E10" s="43"/>
      <x:c r="F10" s="43" t="str">
        <x:v>Insurance</x:v>
      </x:c>
      <x:c r="G10" s="44" t="n">
        <x:v>30000</x:v>
      </x:c>
      <x:c r="H10" s="43" t="str">
        <x:v>Planning estimate</x:v>
      </x:c>
    </x:row>
    <x:row r="11">
      <x:c r="A11" s="43" t="str">
        <x:v>Annual churn</x:v>
      </x:c>
      <x:c r="B11" s="45" t="n">
        <x:v>0.05</x:v>
      </x:c>
      <x:c r="C11" s="43" t="str">
        <x:v>Analytical safeguard</x:v>
      </x:c>
      <x:c r="D11" s="43" t="str">
        <x:v>Applied to effective clients beginning 2028</x:v>
      </x:c>
      <x:c r="E11" s="43"/>
      <x:c r="F11" s="43" t="str">
        <x:v>Travel</x:v>
      </x:c>
      <x:c r="G11" s="44" t="n">
        <x:v>40000</x:v>
      </x:c>
      <x:c r="H11" s="43" t="str">
        <x:v>Planning estimate</x:v>
      </x:c>
    </x:row>
    <x:row r="12">
      <x:c r="A12" s="43" t="str">
        <x:v>Annual revenue growth</x:v>
      </x:c>
      <x:c r="B12" s="45" t="n">
        <x:v>0.1</x:v>
      </x:c>
      <x:c r="C12" s="43" t="str">
        <x:v>Analytical safeguard</x:v>
      </x:c>
      <x:c r="D12" s="43" t="str">
        <x:v>Pricing/growth factor for 2028-2029</x:v>
      </x:c>
      <x:c r="E12" s="43"/>
      <x:c r="F12" s="43" t="str">
        <x:v>Office / administrative</x:v>
      </x:c>
      <x:c r="G12" s="44" t="n">
        <x:v>30000</x:v>
      </x:c>
      <x:c r="H12" s="43" t="str">
        <x:v>Planning estimate</x:v>
      </x:c>
    </x:row>
    <x:row r="13">
      <x:c r="A13" s="43" t="str">
        <x:v>2028 operating expense growth</x:v>
      </x:c>
      <x:c r="B13" s="45" t="n">
        <x:v>0.1</x:v>
      </x:c>
      <x:c r="C13" s="43" t="str">
        <x:v>Planning assumption</x:v>
      </x:c>
      <x:c r="D13" s="43" t="str">
        <x:v>Recurring expense growth</x:v>
      </x:c>
      <x:c r="E13" s="43"/>
      <x:c r="F13" s="43" t="str">
        <x:v>Other consultants / contractors</x:v>
      </x:c>
      <x:c r="G13" s="44" t="n">
        <x:v>40000</x:v>
      </x:c>
      <x:c r="H13" s="43" t="str">
        <x:v>Planning estimate</x:v>
      </x:c>
    </x:row>
    <x:row r="14">
      <x:c r="A14" s="43" t="str">
        <x:v>2029 operating expense growth</x:v>
      </x:c>
      <x:c r="B14" s="45" t="n">
        <x:v>0.1</x:v>
      </x:c>
      <x:c r="C14" s="43" t="str">
        <x:v>Planning assumption</x:v>
      </x:c>
      <x:c r="D14" s="43" t="str">
        <x:v>Recurring expense growth</x:v>
      </x:c>
      <x:c r="E14" s="43"/>
      <x:c r="F14" s="43"/>
      <x:c r="G14" s="43"/>
      <x:c r="H14" s="43"/>
    </x:row>
    <x:row r="15">
      <x:c r="A15" s="43" t="str">
        <x:v>Liquidity reserve target</x:v>
      </x:c>
      <x:c r="B15" s="45" t="n">
        <x:v>0.1</x:v>
      </x:c>
      <x:c r="C15" s="43" t="str">
        <x:v>Proposed capital-efficiency target</x:v>
      </x:c>
      <x:c r="D15" s="43" t="str">
        <x:v>10% of funded face principal</x:v>
      </x:c>
      <x:c r="E15" s="43"/>
      <x:c r="F15" s="15" t="str">
        <x:v>Client economics</x:v>
      </x:c>
      <x:c r="G15" s="15" t="str">
        <x:v>Monthly rate</x:v>
      </x:c>
      <x:c r="H15" s="15" t="str">
        <x:v>Direct cost %</x:v>
      </x:c>
    </x:row>
    <x:row r="16">
      <x:c r="A16" s="43" t="str">
        <x:v>2027 management revenue target</x:v>
      </x:c>
      <x:c r="B16" s="44" t="n">
        <x:v>3000000</x:v>
      </x:c>
      <x:c r="C16" s="43" t="str">
        <x:v>Management target</x:v>
      </x:c>
      <x:c r="D16" s="43" t="str">
        <x:v>Aspirational; separate from Base Case</x:v>
      </x:c>
      <x:c r="E16" s="43"/>
      <x:c r="F16" s="43" t="str">
        <x:v>Retainer</x:v>
      </x:c>
      <x:c r="G16" s="44" t="n">
        <x:v>11000</x:v>
      </x:c>
      <x:c r="H16" s="45" t="n">
        <x:v>0.15</x:v>
      </x:c>
    </x:row>
    <x:row r="17">
      <x:c r="A17" s="43"/>
      <x:c r="B17" s="44"/>
      <x:c r="C17" s="43"/>
      <x:c r="D17" s="43"/>
      <x:c r="E17" s="43"/>
      <x:c r="F17" s="43" t="str">
        <x:v>Commission category</x:v>
      </x:c>
      <x:c r="G17" s="44" t="n">
        <x:v>12000</x:v>
      </x:c>
      <x:c r="H17" s="45" t="n">
        <x:v>0.2</x:v>
      </x:c>
    </x:row>
    <x:row r="18">
      <x:c r="A18" s="43"/>
      <x:c r="B18" s="43"/>
      <x:c r="C18" s="43"/>
      <x:c r="D18" s="43"/>
      <x:c r="E18" s="43"/>
      <x:c r="F18" s="43" t="str">
        <x:v>Pilot / revenue-share</x:v>
      </x:c>
      <x:c r="G18" s="44" t="n">
        <x:v>15000</x:v>
      </x:c>
      <x:c r="H18" s="45" t="n">
        <x:v>0.3</x:v>
      </x:c>
    </x:row>
    <x:row r="19">
      <x:c r="A19" s="43"/>
      <x:c r="B19" s="43"/>
      <x:c r="C19" s="43"/>
      <x:c r="D19" s="43"/>
      <x:c r="E19" s="43"/>
      <x:c r="F19" s="43"/>
      <x:c r="G19" s="43"/>
      <x:c r="H19" s="43"/>
    </x:row>
    <x:row r="20">
      <x:c r="A20" s="43"/>
      <x:c r="B20" s="43"/>
      <x:c r="C20" s="43"/>
      <x:c r="D20" s="43"/>
      <x:c r="E20" s="43"/>
      <x:c r="F20" s="15" t="str">
        <x:v>Offering checksum</x:v>
      </x:c>
      <x:c r="G20" s="15" t="str">
        <x:v>Amount</x:v>
      </x:c>
      <x:c r="H20" s="15" t="str">
        <x:v>Status</x:v>
      </x:c>
    </x:row>
    <x:row r="21">
      <x:c r="A21" s="43"/>
      <x:c r="B21" s="43"/>
      <x:c r="C21" s="43"/>
      <x:c r="D21" s="43"/>
      <x:c r="E21" s="43"/>
      <x:c r="F21" s="43" t="str">
        <x:v>Scheduled tranches</x:v>
      </x:c>
      <x:c r="G21" s="44" t="n">
        <x:f>SUM('Convertible Note'!$C$5:$C$16)</x:f>
        <x:v>3000000</x:v>
      </x:c>
      <x:c r="H21" s="43" t="str">
        <x:f>IF(G21=$B$5,"OK","CHECK")</x:f>
        <x:v>OK</x:v>
      </x:c>
    </x:row>
    <x:row r="22">
      <x:c r="A22" s="43"/>
      <x:c r="B22" s="43"/>
      <x:c r="C22" s="43"/>
      <x:c r="D22" s="43"/>
      <x:c r="E22" s="43"/>
      <x:c r="F22" s="43"/>
      <x:c r="G22" s="43"/>
      <x:c r="H22" s="43"/>
    </x:row>
    <x:row r="23">
      <x:c r="A23" s="15" t="str">
        <x:v>Proposed hybrid / conversion terms</x:v>
      </x:c>
      <x:c r="B23" s="15" t="str">
        <x:v>Value</x:v>
      </x:c>
      <x:c r="C23" s="15" t="str">
        <x:v>Status</x:v>
      </x:c>
      <x:c r="D23" s="15" t="str">
        <x:v>Model treatment</x:v>
      </x:c>
      <x:c r="E23" s="43"/>
      <x:c r="F23" s="43"/>
      <x:c r="G23" s="43"/>
      <x:c r="H23" s="43"/>
    </x:row>
    <x:row r="24">
      <x:c r="A24" s="43" t="str">
        <x:v>PIK coupon rate</x:v>
      </x:c>
      <x:c r="B24" s="45" t="n">
        <x:v>0.05</x:v>
      </x:c>
      <x:c r="C24" s="43" t="str">
        <x:v>Proposed</x:v>
      </x:c>
      <x:c r="D24" s="43" t="str">
        <x:v>Noncash accrual added to note carrying amount</x:v>
      </x:c>
      <x:c r="E24" s="43"/>
      <x:c r="F24" s="43"/>
      <x:c r="G24" s="43"/>
      <x:c r="H24" s="43"/>
    </x:row>
    <x:row r="25">
      <x:c r="A25" s="43" t="str">
        <x:v>Conversion discount</x:v>
      </x:c>
      <x:c r="B25" s="45" t="n">
        <x:v>0.2</x:v>
      </x:c>
      <x:c r="C25" s="43" t="str">
        <x:v>Illustrative — counsel approval required</x:v>
      </x:c>
      <x:c r="D25" s="43" t="str">
        <x:v>Applied only if a qualifying conversion occurs</x:v>
      </x:c>
      <x:c r="E25" s="43"/>
      <x:c r="F25" s="43"/>
      <x:c r="G25" s="43"/>
      <x:c r="H25" s="43"/>
    </x:row>
    <x:row r="26">
      <x:c r="A26" s="43" t="str">
        <x:v>Valuation cap</x:v>
      </x:c>
      <x:c r="B26" s="44" t="n">
        <x:v>12000000</x:v>
      </x:c>
      <x:c r="C26" s="43" t="str">
        <x:v>Illustrative — counsel approval required</x:v>
      </x:c>
      <x:c r="D26" s="43" t="str">
        <x:v>No conversion value recorded in forecast</x:v>
      </x:c>
      <x:c r="E26" s="43"/>
      <x:c r="F26" s="43"/>
      <x:c r="G26" s="43"/>
      <x:c r="H26" s="43"/>
    </x:row>
    <x:row r="27">
      <x:c r="A27" s="43" t="str">
        <x:v>Qualified financing threshold</x:v>
      </x:c>
      <x:c r="B27" s="44" t="n">
        <x:v>5000000</x:v>
      </x:c>
      <x:c r="C27" s="43" t="str">
        <x:v>Illustrative — counsel approval required</x:v>
      </x:c>
      <x:c r="D27" s="43" t="str">
        <x:v>No qualifying financing forecast</x:v>
      </x:c>
      <x:c r="E27" s="43"/>
      <x:c r="F27" s="43"/>
      <x:c r="G27" s="43"/>
      <x:c r="H27" s="43"/>
    </x:row>
    <x:row r="28">
      <x:c r="A28" s="43" t="str">
        <x:v>Maturity</x:v>
      </x:c>
      <x:c r="B28" s="48" t="n">
        <x:v>47817</x:v>
      </x:c>
      <x:c r="C28" s="43" t="str">
        <x:v>Proposed</x:v>
      </x:c>
      <x:c r="D28" s="43" t="str">
        <x:v>36 months after final scheduled close</x:v>
      </x:c>
      <x:c r="E28" s="43"/>
      <x:c r="F28" s="43"/>
      <x:c r="G28" s="43"/>
      <x:c r="H28" s="43"/>
    </x:row>
    <x:row r="29">
      <x:c r="A29" s="43" t="str">
        <x:v>Section 163(j) stress toggle</x:v>
      </x:c>
      <x:c r="B29" s="46" t="n">
        <x:v>1</x:v>
      </x:c>
      <x:c r="C29" s="43" t="str">
        <x:v>Planning safeguard</x:v>
      </x:c>
      <x:c r="D29" s="43" t="str">
        <x:v>1 = limitation applied; small-business exception not evaluated</x:v>
      </x:c>
      <x:c r="E29" s="43"/>
      <x:c r="F29" s="43"/>
      <x:c r="G29" s="43"/>
      <x:c r="H29" s="43"/>
    </x:row>
  </x:sheetData>
  <x:mergeCells>
    <x:mergeCell ref="A1:H1"/>
    <x:mergeCell ref="A2:H2"/>
  </x:mergeCells>
  <x:pageMargins left="0.7" right="0.7" top="0.75" bottom="0.75" header="0.3" footer="0.3"/>
  <x:legacyDrawing xmlns:r="http://schemas.openxmlformats.org/officeDocument/2006/relationships" r:id="R6568926313f64184"/>
</x:worksheet>
</file>

<file path=xl/worksheets/sheet2.xml><?xml version="1.0" encoding="utf-8"?>
<x:worksheet xmlns:x="http://schemas.openxmlformats.org/spreadsheetml/2006/main">
  <x:sheetViews>
    <x:sheetView showGridLines="0" workbookViewId="0"/>
  </x:sheetViews>
  <x:sheetFormatPr defaultRowHeight="15"/>
  <x:cols>
    <x:col min="1" max="1" width="32" hidden="0" customWidth="1"/>
    <x:col min="2" max="2" width="11" hidden="0" customWidth="1"/>
    <x:col min="3" max="3" width="11" hidden="0" customWidth="1"/>
    <x:col min="4" max="4" width="47"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s>
  <x:sheetData>
    <x:row r="1" ht="30" customHeight="1">
      <x:c r="A1" s="31" t="str">
        <x:v>SVT Nexus — Client Ramp and Scenario Drivers</x:v>
      </x:c>
      <x:c r="B1" s="31"/>
      <x:c r="C1" s="31"/>
      <x:c r="D1" s="31"/>
      <x:c r="E1" s="31"/>
      <x:c r="F1" s="31"/>
      <x:c r="G1" s="31"/>
      <x:c r="H1" s="31"/>
      <x:c r="I1" s="31"/>
      <x:c r="J1" s="31"/>
      <x:c r="K1" s="31"/>
      <x:c r="L1" s="31"/>
      <x:c r="M1" s="31"/>
    </x:row>
    <x:row r="2">
      <x:c r="A2" s="42" t="str">
        <x:v>Version 3 | Model date: 21 Aug 2026 | Proposed structure — management and securities counsel review required</x:v>
      </x:c>
      <x:c r="B2" s="42"/>
      <x:c r="C2" s="42"/>
      <x:c r="D2" s="42"/>
      <x:c r="E2" s="42"/>
      <x:c r="F2" s="42"/>
      <x:c r="G2" s="42"/>
      <x:c r="H2" s="42"/>
      <x:c r="I2" s="42"/>
      <x:c r="J2" s="42"/>
      <x:c r="K2" s="42"/>
      <x:c r="L2" s="42"/>
      <x:c r="M2" s="42"/>
    </x:row>
    <x:row r="3">
      <x:c r="A3" s="43"/>
      <x:c r="B3" s="43"/>
      <x:c r="C3" s="43"/>
      <x:c r="D3" s="43"/>
      <x:c r="E3" s="43"/>
      <x:c r="F3" s="43"/>
      <x:c r="G3" s="43"/>
      <x:c r="H3" s="43"/>
      <x:c r="I3" s="43"/>
      <x:c r="J3" s="43"/>
      <x:c r="K3" s="43"/>
      <x:c r="L3" s="43"/>
      <x:c r="M3" s="43"/>
    </x:row>
    <x:row r="4">
      <x:c r="A4" s="15" t="str">
        <x:v>Scenario</x:v>
      </x:c>
      <x:c r="B4" s="15" t="str">
        <x:v>Jan</x:v>
      </x:c>
      <x:c r="C4" s="15" t="str">
        <x:v>Feb</x:v>
      </x:c>
      <x:c r="D4" s="15" t="str">
        <x:v>Mar</x:v>
      </x:c>
      <x:c r="E4" s="15" t="str">
        <x:v>Apr</x:v>
      </x:c>
      <x:c r="F4" s="15" t="str">
        <x:v>May</x:v>
      </x:c>
      <x:c r="G4" s="15" t="str">
        <x:v>Jun</x:v>
      </x:c>
      <x:c r="H4" s="15" t="str">
        <x:v>Jul</x:v>
      </x:c>
      <x:c r="I4" s="15" t="str">
        <x:v>Aug</x:v>
      </x:c>
      <x:c r="J4" s="15" t="str">
        <x:v>Sep</x:v>
      </x:c>
      <x:c r="K4" s="15" t="str">
        <x:v>Oct</x:v>
      </x:c>
      <x:c r="L4" s="15" t="str">
        <x:v>Nov</x:v>
      </x:c>
      <x:c r="M4" s="15" t="str">
        <x:v>Dec</x:v>
      </x:c>
    </x:row>
    <x:row r="5">
      <x:c r="A5" s="43" t="str">
        <x:v>Downside — new clients</x:v>
      </x:c>
      <x:c r="B5" s="43" t="n">
        <x:v>0</x:v>
      </x:c>
      <x:c r="C5" s="43" t="n">
        <x:v>0</x:v>
      </x:c>
      <x:c r="D5" s="43" t="n">
        <x:v>0</x:v>
      </x:c>
      <x:c r="E5" s="43" t="n">
        <x:v>0</x:v>
      </x:c>
      <x:c r="F5" s="43" t="n">
        <x:v>0</x:v>
      </x:c>
      <x:c r="G5" s="43" t="n">
        <x:v>0</x:v>
      </x:c>
      <x:c r="H5" s="43" t="n">
        <x:v>2</x:v>
      </x:c>
      <x:c r="I5" s="43" t="n">
        <x:v>1</x:v>
      </x:c>
      <x:c r="J5" s="43" t="n">
        <x:v>1</x:v>
      </x:c>
      <x:c r="K5" s="43" t="n">
        <x:v>1</x:v>
      </x:c>
      <x:c r="L5" s="43" t="n">
        <x:v>1</x:v>
      </x:c>
      <x:c r="M5" s="43" t="n">
        <x:v>0</x:v>
      </x:c>
    </x:row>
    <x:row r="6">
      <x:c r="A6" s="43" t="str">
        <x:v>Base — new clients</x:v>
      </x:c>
      <x:c r="B6" s="43" t="n">
        <x:v>3</x:v>
      </x:c>
      <x:c r="C6" s="43" t="n">
        <x:v>3</x:v>
      </x:c>
      <x:c r="D6" s="43" t="n">
        <x:v>2</x:v>
      </x:c>
      <x:c r="E6" s="43" t="n">
        <x:v>2</x:v>
      </x:c>
      <x:c r="F6" s="43" t="n">
        <x:v>2</x:v>
      </x:c>
      <x:c r="G6" s="43" t="n">
        <x:v>0</x:v>
      </x:c>
      <x:c r="H6" s="43" t="n">
        <x:v>0</x:v>
      </x:c>
      <x:c r="I6" s="43" t="n">
        <x:v>0</x:v>
      </x:c>
      <x:c r="J6" s="43" t="n">
        <x:v>0</x:v>
      </x:c>
      <x:c r="K6" s="43" t="n">
        <x:v>0</x:v>
      </x:c>
      <x:c r="L6" s="43" t="n">
        <x:v>0</x:v>
      </x:c>
      <x:c r="M6" s="43" t="n">
        <x:v>0</x:v>
      </x:c>
    </x:row>
    <x:row r="7">
      <x:c r="A7" s="43" t="str">
        <x:v>Management — new clients</x:v>
      </x:c>
      <x:c r="B7" s="43" t="n">
        <x:v>4</x:v>
      </x:c>
      <x:c r="C7" s="43" t="n">
        <x:v>4</x:v>
      </x:c>
      <x:c r="D7" s="43" t="n">
        <x:v>3</x:v>
      </x:c>
      <x:c r="E7" s="43" t="n">
        <x:v>3</x:v>
      </x:c>
      <x:c r="F7" s="43" t="n">
        <x:v>2</x:v>
      </x:c>
      <x:c r="G7" s="43" t="n">
        <x:v>2</x:v>
      </x:c>
      <x:c r="H7" s="43" t="n">
        <x:v>0</x:v>
      </x:c>
      <x:c r="I7" s="43" t="n">
        <x:v>0</x:v>
      </x:c>
      <x:c r="J7" s="43" t="n">
        <x:v>0</x:v>
      </x:c>
      <x:c r="K7" s="43" t="n">
        <x:v>0</x:v>
      </x:c>
      <x:c r="L7" s="43" t="n">
        <x:v>0</x:v>
      </x:c>
      <x:c r="M7" s="43" t="n">
        <x:v>0</x:v>
      </x:c>
    </x:row>
    <x:row r="8">
      <x:c r="A8" s="43"/>
      <x:c r="B8" s="43"/>
      <x:c r="C8" s="43"/>
      <x:c r="D8" s="43"/>
      <x:c r="E8" s="43"/>
      <x:c r="F8" s="43"/>
      <x:c r="G8" s="43"/>
      <x:c r="H8" s="43"/>
      <x:c r="I8" s="43"/>
      <x:c r="J8" s="43"/>
      <x:c r="K8" s="43"/>
      <x:c r="L8" s="43"/>
      <x:c r="M8" s="43"/>
    </x:row>
    <x:row r="9">
      <x:c r="A9" s="43" t="str">
        <x:v>Base cumulative clients</x:v>
      </x:c>
      <x:c r="B9" s="43" t="n">
        <x:f>B6</x:f>
        <x:v>3</x:v>
      </x:c>
      <x:c r="C9" s="43" t="n">
        <x:f>B9+C6</x:f>
        <x:v>6</x:v>
      </x:c>
      <x:c r="D9" s="43" t="n">
        <x:f>C9+D6</x:f>
        <x:v>8</x:v>
      </x:c>
      <x:c r="E9" s="43" t="n">
        <x:f>D9+E6</x:f>
        <x:v>10</x:v>
      </x:c>
      <x:c r="F9" s="43" t="n">
        <x:f>E9+F6</x:f>
        <x:v>12</x:v>
      </x:c>
      <x:c r="G9" s="43" t="n">
        <x:f>F9+G6</x:f>
        <x:v>12</x:v>
      </x:c>
      <x:c r="H9" s="43" t="n">
        <x:f>G9+H6</x:f>
        <x:v>12</x:v>
      </x:c>
      <x:c r="I9" s="43" t="n">
        <x:f>H9+I6</x:f>
        <x:v>12</x:v>
      </x:c>
      <x:c r="J9" s="43" t="n">
        <x:f>I9+J6</x:f>
        <x:v>12</x:v>
      </x:c>
      <x:c r="K9" s="43" t="n">
        <x:f>J9+K6</x:f>
        <x:v>12</x:v>
      </x:c>
      <x:c r="L9" s="43" t="n">
        <x:f>K9+L6</x:f>
        <x:v>12</x:v>
      </x:c>
      <x:c r="M9" s="43" t="n">
        <x:f>L9+M6</x:f>
        <x:v>12</x:v>
      </x:c>
    </x:row>
    <x:row r="10">
      <x:c r="A10" s="43"/>
      <x:c r="B10" s="43"/>
      <x:c r="C10" s="43"/>
      <x:c r="D10" s="43"/>
      <x:c r="E10" s="43"/>
      <x:c r="F10" s="43"/>
      <x:c r="G10" s="43"/>
      <x:c r="H10" s="43"/>
      <x:c r="I10" s="43"/>
      <x:c r="J10" s="43"/>
      <x:c r="K10" s="43"/>
      <x:c r="L10" s="43"/>
      <x:c r="M10" s="43"/>
    </x:row>
    <x:row r="11">
      <x:c r="A11" s="15" t="str">
        <x:v>Scenario</x:v>
      </x:c>
      <x:c r="B11" s="15" t="str">
        <x:v>Year-end clients</x:v>
      </x:c>
      <x:c r="C11" s="15" t="str">
        <x:v>2027 timing</x:v>
      </x:c>
      <x:c r="D11" s="15" t="str">
        <x:v>Investor interpretation</x:v>
      </x:c>
      <x:c r="E11" s="43"/>
      <x:c r="F11" s="43"/>
      <x:c r="G11" s="43"/>
      <x:c r="H11" s="43"/>
      <x:c r="I11" s="43"/>
      <x:c r="J11" s="43"/>
      <x:c r="K11" s="43"/>
      <x:c r="L11" s="43"/>
      <x:c r="M11" s="43"/>
    </x:row>
    <x:row r="12">
      <x:c r="A12" s="43" t="str">
        <x:v>Downside</x:v>
      </x:c>
      <x:c r="B12" s="43" t="n">
        <x:v>6</x:v>
      </x:c>
      <x:c r="C12" s="43" t="str">
        <x:v>Six-month delay; retainer-only</x:v>
      </x:c>
      <x:c r="D12" s="43" t="str">
        <x:v>Stress case; 50% attainment and delayed ramp</x:v>
      </x:c>
      <x:c r="E12" s="43"/>
      <x:c r="F12" s="43"/>
      <x:c r="G12" s="43"/>
      <x:c r="H12" s="43"/>
      <x:c r="I12" s="43"/>
      <x:c r="J12" s="43"/>
      <x:c r="K12" s="43"/>
      <x:c r="L12" s="43"/>
      <x:c r="M12" s="43"/>
    </x:row>
    <x:row r="13">
      <x:c r="A13" s="43" t="str">
        <x:v>Base</x:v>
      </x:c>
      <x:c r="B13" s="43" t="n">
        <x:v>12</x:v>
      </x:c>
      <x:c r="C13" s="43" t="str">
        <x:v>3/3/2/2/2 client additions Jan-May</x:v>
      </x:c>
      <x:c r="D13" s="43" t="str">
        <x:v>Operating case used in statements</x:v>
      </x:c>
      <x:c r="E13" s="43"/>
      <x:c r="F13" s="43"/>
      <x:c r="G13" s="43"/>
      <x:c r="H13" s="43"/>
      <x:c r="I13" s="43"/>
      <x:c r="J13" s="43"/>
      <x:c r="K13" s="43"/>
      <x:c r="L13" s="43"/>
      <x:c r="M13" s="43"/>
    </x:row>
    <x:row r="14">
      <x:c r="A14" s="43" t="str">
        <x:v>Management</x:v>
      </x:c>
      <x:c r="B14" s="43" t="n">
        <x:v>18</x:v>
      </x:c>
      <x:c r="C14" s="43" t="str">
        <x:v>4/4/3/3/2/2 additions Jan-Jun</x:v>
      </x:c>
      <x:c r="D14" s="43" t="str">
        <x:v>Aspirational case; target bridge disclosed separately</x:v>
      </x:c>
      <x:c r="E14" s="43"/>
      <x:c r="F14" s="43"/>
      <x:c r="G14" s="43"/>
      <x:c r="H14" s="43"/>
      <x:c r="I14" s="43"/>
      <x:c r="J14" s="43"/>
      <x:c r="K14" s="43"/>
      <x:c r="L14" s="43"/>
      <x:c r="M14" s="43"/>
    </x:row>
    <x:row r="15">
      <x:c r="A15" s="43"/>
      <x:c r="B15" s="43"/>
      <x:c r="C15" s="43"/>
      <x:c r="D15" s="43"/>
      <x:c r="E15" s="43"/>
      <x:c r="F15" s="43"/>
      <x:c r="G15" s="43"/>
      <x:c r="H15" s="43"/>
      <x:c r="I15" s="43"/>
      <x:c r="J15" s="43"/>
      <x:c r="K15" s="43"/>
      <x:c r="L15" s="43"/>
      <x:c r="M15" s="43"/>
    </x:row>
    <x:row r="16">
      <x:c r="A16" s="49" t="str">
        <x:v>Note: client counts are planning assumptions, not executed contracts. LOIs/MOUs are not treated as revenue commitments.</x:v>
      </x:c>
      <x:c r="B16" s="49"/>
      <x:c r="C16" s="49"/>
      <x:c r="D16" s="49"/>
      <x:c r="E16" s="49"/>
      <x:c r="F16" s="49"/>
      <x:c r="G16" s="49"/>
      <x:c r="H16" s="49"/>
      <x:c r="I16" s="49"/>
      <x:c r="J16" s="49"/>
      <x:c r="K16" s="49"/>
      <x:c r="L16" s="49"/>
      <x:c r="M16" s="49"/>
    </x:row>
    <x:row r="17">
      <x:c r="A17" s="43"/>
      <x:c r="B17" s="43"/>
      <x:c r="C17" s="43"/>
      <x:c r="D17" s="43"/>
      <x:c r="E17" s="43"/>
      <x:c r="F17" s="43"/>
      <x:c r="G17" s="43"/>
      <x:c r="H17" s="43"/>
      <x:c r="I17" s="43"/>
      <x:c r="J17" s="43"/>
      <x:c r="K17" s="43"/>
      <x:c r="L17" s="43"/>
      <x:c r="M17" s="43"/>
    </x:row>
    <x:row r="18">
      <x:c r="A18" s="15" t="str">
        <x:v>Base growth year</x:v>
      </x:c>
      <x:c r="B18" s="15" t="str">
        <x:v>Opening clients</x:v>
      </x:c>
      <x:c r="C18" s="15" t="str">
        <x:v>New clients</x:v>
      </x:c>
      <x:c r="D18" s="15" t="str">
        <x:v>Ending clients</x:v>
      </x:c>
      <x:c r="E18" s="43"/>
      <x:c r="F18" s="43"/>
      <x:c r="G18" s="43"/>
      <x:c r="H18" s="43"/>
      <x:c r="I18" s="43"/>
      <x:c r="J18" s="43"/>
      <x:c r="K18" s="43"/>
      <x:c r="L18" s="43"/>
      <x:c r="M18" s="43"/>
    </x:row>
    <x:row r="19">
      <x:c r="A19" s="43" t="n">
        <x:v>2027</x:v>
      </x:c>
      <x:c r="B19" s="43" t="n">
        <x:v>0</x:v>
      </x:c>
      <x:c r="C19" s="43" t="n">
        <x:v>12</x:v>
      </x:c>
      <x:c r="D19" s="43" t="n">
        <x:v>12</x:v>
      </x:c>
      <x:c r="E19" s="43"/>
      <x:c r="F19" s="43"/>
      <x:c r="G19" s="43"/>
      <x:c r="H19" s="43"/>
      <x:c r="I19" s="43"/>
      <x:c r="J19" s="43"/>
      <x:c r="K19" s="43"/>
      <x:c r="L19" s="43"/>
      <x:c r="M19" s="43"/>
    </x:row>
    <x:row r="20">
      <x:c r="A20" s="43" t="n">
        <x:v>2028</x:v>
      </x:c>
      <x:c r="B20" s="43" t="n">
        <x:v>12</x:v>
      </x:c>
      <x:c r="C20" s="43" t="n">
        <x:v>6</x:v>
      </x:c>
      <x:c r="D20" s="43" t="n">
        <x:v>18</x:v>
      </x:c>
      <x:c r="E20" s="43"/>
      <x:c r="F20" s="43"/>
      <x:c r="G20" s="43"/>
      <x:c r="H20" s="43"/>
      <x:c r="I20" s="43"/>
      <x:c r="J20" s="43"/>
      <x:c r="K20" s="43"/>
      <x:c r="L20" s="43"/>
      <x:c r="M20" s="43"/>
    </x:row>
    <x:row r="21">
      <x:c r="A21" s="43" t="n">
        <x:v>2029</x:v>
      </x:c>
      <x:c r="B21" s="43" t="n">
        <x:v>18</x:v>
      </x:c>
      <x:c r="C21" s="43" t="n">
        <x:v>6</x:v>
      </x:c>
      <x:c r="D21" s="43" t="n">
        <x:v>24</x:v>
      </x:c>
      <x:c r="E21" s="43"/>
      <x:c r="F21" s="43"/>
      <x:c r="G21" s="43"/>
      <x:c r="H21" s="43"/>
      <x:c r="I21" s="43"/>
      <x:c r="J21" s="43"/>
      <x:c r="K21" s="43"/>
      <x:c r="L21" s="43"/>
      <x:c r="M21" s="43"/>
    </x:row>
  </x:sheetData>
  <x:mergeCells>
    <x:mergeCell ref="A1:M1"/>
    <x:mergeCell ref="A2:M2"/>
    <x:mergeCell ref="A16:M1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s>
  <x:sheetData>
    <x:row r="1" ht="30" customHeight="1">
      <x:c r="A1" s="31" t="str">
        <x:v>SVT Nexus — Base Case Monthly Revenue Model</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c r="AA1" s="31"/>
      <x:c r="AB1" s="31"/>
      <x:c r="AC1" s="31"/>
      <x:c r="AD1" s="31"/>
      <x:c r="AE1" s="31"/>
      <x:c r="AF1" s="31"/>
      <x:c r="AG1" s="31"/>
      <x:c r="AH1" s="31"/>
      <x:c r="AI1" s="31"/>
      <x:c r="AJ1" s="31"/>
      <x:c r="AK1" s="31"/>
      <x:c r="AL1" s="31"/>
    </x:row>
    <x:row r="2">
      <x:c r="A2" s="42" t="str">
        <x:v>Version 3 | Model date: 21 Aug 2026 | Proposed structure — management and securities counsel review required</x:v>
      </x:c>
      <x:c r="B2" s="42"/>
      <x:c r="C2" s="42"/>
      <x:c r="D2" s="42"/>
      <x:c r="E2" s="42"/>
      <x:c r="F2" s="42"/>
      <x:c r="G2" s="42"/>
      <x:c r="H2" s="42"/>
      <x:c r="I2" s="42"/>
      <x:c r="J2" s="42"/>
      <x:c r="K2" s="42"/>
      <x:c r="L2" s="42"/>
      <x:c r="M2" s="42"/>
      <x:c r="N2" s="42"/>
      <x:c r="O2" s="42"/>
      <x:c r="P2" s="42"/>
      <x:c r="Q2" s="42"/>
      <x:c r="R2" s="42"/>
      <x:c r="S2" s="42"/>
      <x:c r="T2" s="42"/>
      <x:c r="U2" s="42"/>
      <x:c r="V2" s="42"/>
      <x:c r="W2" s="42"/>
      <x:c r="X2" s="42"/>
      <x:c r="Y2" s="42"/>
      <x:c r="Z2" s="42"/>
      <x:c r="AA2" s="42"/>
      <x:c r="AB2" s="42"/>
      <x:c r="AC2" s="42"/>
      <x:c r="AD2" s="42"/>
      <x:c r="AE2" s="42"/>
      <x:c r="AF2" s="42"/>
      <x:c r="AG2" s="42"/>
      <x:c r="AH2" s="42"/>
      <x:c r="AI2" s="42"/>
      <x:c r="AJ2" s="42"/>
      <x:c r="AK2" s="42"/>
      <x:c r="AL2" s="42"/>
    </x:row>
    <x:row r="3">
      <x:c r="A3" s="43" t="str">
        <x:v>Revenue item</x:v>
      </x:c>
      <x:c r="B3" s="50" t="n">
        <x:v>46357</x:v>
      </x:c>
      <x:c r="C3" s="50" t="n">
        <x:v>46388</x:v>
      </x:c>
      <x:c r="D3" s="50" t="n">
        <x:v>46419</x:v>
      </x:c>
      <x:c r="E3" s="50" t="n">
        <x:v>46447</x:v>
      </x:c>
      <x:c r="F3" s="50" t="n">
        <x:v>46478</x:v>
      </x:c>
      <x:c r="G3" s="50" t="n">
        <x:v>46508</x:v>
      </x:c>
      <x:c r="H3" s="50" t="n">
        <x:v>46539</x:v>
      </x:c>
      <x:c r="I3" s="50" t="n">
        <x:v>46569</x:v>
      </x:c>
      <x:c r="J3" s="50" t="n">
        <x:v>46600</x:v>
      </x:c>
      <x:c r="K3" s="50" t="n">
        <x:v>46631</x:v>
      </x:c>
      <x:c r="L3" s="50" t="n">
        <x:v>46661</x:v>
      </x:c>
      <x:c r="M3" s="50" t="n">
        <x:v>46692</x:v>
      </x:c>
      <x:c r="N3" s="50" t="n">
        <x:v>46722</x:v>
      </x:c>
      <x:c r="O3" s="50" t="n">
        <x:v>46753</x:v>
      </x:c>
      <x:c r="P3" s="50" t="n">
        <x:v>46784</x:v>
      </x:c>
      <x:c r="Q3" s="50" t="n">
        <x:v>46813</x:v>
      </x:c>
      <x:c r="R3" s="50" t="n">
        <x:v>46844</x:v>
      </x:c>
      <x:c r="S3" s="50" t="n">
        <x:v>46874</x:v>
      </x:c>
      <x:c r="T3" s="50" t="n">
        <x:v>46905</x:v>
      </x:c>
      <x:c r="U3" s="50" t="n">
        <x:v>46935</x:v>
      </x:c>
      <x:c r="V3" s="50" t="n">
        <x:v>46966</x:v>
      </x:c>
      <x:c r="W3" s="50" t="n">
        <x:v>46997</x:v>
      </x:c>
      <x:c r="X3" s="50" t="n">
        <x:v>47027</x:v>
      </x:c>
      <x:c r="Y3" s="50" t="n">
        <x:v>47058</x:v>
      </x:c>
      <x:c r="Z3" s="50" t="n">
        <x:v>47088</x:v>
      </x:c>
      <x:c r="AA3" s="50" t="n">
        <x:v>47119</x:v>
      </x:c>
      <x:c r="AB3" s="50" t="n">
        <x:v>47150</x:v>
      </x:c>
      <x:c r="AC3" s="50" t="n">
        <x:v>47178</x:v>
      </x:c>
      <x:c r="AD3" s="50" t="n">
        <x:v>47209</x:v>
      </x:c>
      <x:c r="AE3" s="50" t="n">
        <x:v>47239</x:v>
      </x:c>
      <x:c r="AF3" s="50" t="n">
        <x:v>47270</x:v>
      </x:c>
      <x:c r="AG3" s="50" t="n">
        <x:v>47300</x:v>
      </x:c>
      <x:c r="AH3" s="50" t="n">
        <x:v>47331</x:v>
      </x:c>
      <x:c r="AI3" s="50" t="n">
        <x:v>47362</x:v>
      </x:c>
      <x:c r="AJ3" s="50" t="n">
        <x:v>47392</x:v>
      </x:c>
      <x:c r="AK3" s="50" t="n">
        <x:v>47423</x:v>
      </x:c>
      <x:c r="AL3" s="50" t="n">
        <x:v>47453</x:v>
      </x:c>
    </x:row>
    <x:row r="4">
      <x:c r="A4" s="43" t="str">
        <x:v>Retainer active clients</x:v>
      </x:c>
      <x:c r="B4" s="44" t="n">
        <x:v>0</x:v>
      </x:c>
      <x:c r="C4" s="44" t="n">
        <x:f>MIN(6,'Client Ramp'!B$9)</x:f>
        <x:v>3</x:v>
      </x:c>
      <x:c r="D4" s="44" t="n">
        <x:f>MIN(6,'Client Ramp'!C$9)</x:f>
        <x:v>6</x:v>
      </x:c>
      <x:c r="E4" s="44" t="n">
        <x:f>MIN(6,'Client Ramp'!D$9)</x:f>
        <x:v>6</x:v>
      </x:c>
      <x:c r="F4" s="44" t="n">
        <x:f>MIN(6,'Client Ramp'!E$9)</x:f>
        <x:v>6</x:v>
      </x:c>
      <x:c r="G4" s="44" t="n">
        <x:f>MIN(6,'Client Ramp'!F$9)</x:f>
        <x:v>6</x:v>
      </x:c>
      <x:c r="H4" s="44" t="n">
        <x:f>MIN(6,'Client Ramp'!G$9)</x:f>
        <x:v>6</x:v>
      </x:c>
      <x:c r="I4" s="44" t="n">
        <x:f>MIN(6,'Client Ramp'!H$9)</x:f>
        <x:v>6</x:v>
      </x:c>
      <x:c r="J4" s="44" t="n">
        <x:f>MIN(6,'Client Ramp'!I$9)</x:f>
        <x:v>6</x:v>
      </x:c>
      <x:c r="K4" s="44" t="n">
        <x:f>MIN(6,'Client Ramp'!J$9)</x:f>
        <x:v>6</x:v>
      </x:c>
      <x:c r="L4" s="44" t="n">
        <x:f>MIN(6,'Client Ramp'!K$9)</x:f>
        <x:v>6</x:v>
      </x:c>
      <x:c r="M4" s="44" t="n">
        <x:f>MIN(6,'Client Ramp'!L$9)</x:f>
        <x:v>6</x:v>
      </x:c>
      <x:c r="N4" s="44" t="n">
        <x:f>MIN(6,'Client Ramp'!M$9)</x:f>
        <x:v>6</x:v>
      </x:c>
      <x:c r="O4" s="44" t="n">
        <x:f>18*50%*(1-'Assumptions'!$B$11)</x:f>
        <x:v>8.549999999999999</x:v>
      </x:c>
      <x:c r="P4" s="44" t="n">
        <x:f>18*50%*(1-'Assumptions'!$B$11)</x:f>
        <x:v>8.549999999999999</x:v>
      </x:c>
      <x:c r="Q4" s="44" t="n">
        <x:f>18*50%*(1-'Assumptions'!$B$11)</x:f>
        <x:v>8.549999999999999</x:v>
      </x:c>
      <x:c r="R4" s="44" t="n">
        <x:f>18*50%*(1-'Assumptions'!$B$11)</x:f>
        <x:v>8.549999999999999</x:v>
      </x:c>
      <x:c r="S4" s="44" t="n">
        <x:f>18*50%*(1-'Assumptions'!$B$11)</x:f>
        <x:v>8.549999999999999</x:v>
      </x:c>
      <x:c r="T4" s="44" t="n">
        <x:f>18*50%*(1-'Assumptions'!$B$11)</x:f>
        <x:v>8.549999999999999</x:v>
      </x:c>
      <x:c r="U4" s="44" t="n">
        <x:f>18*50%*(1-'Assumptions'!$B$11)</x:f>
        <x:v>8.549999999999999</x:v>
      </x:c>
      <x:c r="V4" s="44" t="n">
        <x:f>18*50%*(1-'Assumptions'!$B$11)</x:f>
        <x:v>8.549999999999999</x:v>
      </x:c>
      <x:c r="W4" s="44" t="n">
        <x:f>18*50%*(1-'Assumptions'!$B$11)</x:f>
        <x:v>8.549999999999999</x:v>
      </x:c>
      <x:c r="X4" s="44" t="n">
        <x:f>18*50%*(1-'Assumptions'!$B$11)</x:f>
        <x:v>8.549999999999999</x:v>
      </x:c>
      <x:c r="Y4" s="44" t="n">
        <x:f>18*50%*(1-'Assumptions'!$B$11)</x:f>
        <x:v>8.549999999999999</x:v>
      </x:c>
      <x:c r="Z4" s="44" t="n">
        <x:f>18*50%*(1-'Assumptions'!$B$11)</x:f>
        <x:v>8.549999999999999</x:v>
      </x:c>
      <x:c r="AA4" s="44" t="n">
        <x:f>24*50%*(1-'Assumptions'!$B$11)</x:f>
        <x:v>11.399999999999999</x:v>
      </x:c>
      <x:c r="AB4" s="44" t="n">
        <x:f>24*50%*(1-'Assumptions'!$B$11)</x:f>
        <x:v>11.399999999999999</x:v>
      </x:c>
      <x:c r="AC4" s="44" t="n">
        <x:f>24*50%*(1-'Assumptions'!$B$11)</x:f>
        <x:v>11.399999999999999</x:v>
      </x:c>
      <x:c r="AD4" s="44" t="n">
        <x:f>24*50%*(1-'Assumptions'!$B$11)</x:f>
        <x:v>11.399999999999999</x:v>
      </x:c>
      <x:c r="AE4" s="44" t="n">
        <x:f>24*50%*(1-'Assumptions'!$B$11)</x:f>
        <x:v>11.399999999999999</x:v>
      </x:c>
      <x:c r="AF4" s="44" t="n">
        <x:f>24*50%*(1-'Assumptions'!$B$11)</x:f>
        <x:v>11.399999999999999</x:v>
      </x:c>
      <x:c r="AG4" s="44" t="n">
        <x:f>24*50%*(1-'Assumptions'!$B$11)</x:f>
        <x:v>11.399999999999999</x:v>
      </x:c>
      <x:c r="AH4" s="44" t="n">
        <x:f>24*50%*(1-'Assumptions'!$B$11)</x:f>
        <x:v>11.399999999999999</x:v>
      </x:c>
      <x:c r="AI4" s="44" t="n">
        <x:f>24*50%*(1-'Assumptions'!$B$11)</x:f>
        <x:v>11.399999999999999</x:v>
      </x:c>
      <x:c r="AJ4" s="44" t="n">
        <x:f>24*50%*(1-'Assumptions'!$B$11)</x:f>
        <x:v>11.399999999999999</x:v>
      </x:c>
      <x:c r="AK4" s="44" t="n">
        <x:f>24*50%*(1-'Assumptions'!$B$11)</x:f>
        <x:v>11.399999999999999</x:v>
      </x:c>
      <x:c r="AL4" s="44" t="n">
        <x:f>24*50%*(1-'Assumptions'!$B$11)</x:f>
        <x:v>11.399999999999999</x:v>
      </x:c>
    </x:row>
    <x:row r="5">
      <x:c r="A5" s="43" t="str">
        <x:v>Commission active clients</x:v>
      </x:c>
      <x:c r="B5" s="44" t="n">
        <x:v>0</x:v>
      </x:c>
      <x:c r="C5" s="44" t="n">
        <x:f>MIN(3,MAX(0,'Client Ramp'!B$9-6))</x:f>
        <x:v>0</x:v>
      </x:c>
      <x:c r="D5" s="44" t="n">
        <x:f>MIN(3,MAX(0,'Client Ramp'!C$9-6))</x:f>
        <x:v>0</x:v>
      </x:c>
      <x:c r="E5" s="44" t="n">
        <x:f>MIN(3,MAX(0,'Client Ramp'!D$9-6))</x:f>
        <x:v>2</x:v>
      </x:c>
      <x:c r="F5" s="44" t="n">
        <x:f>MIN(3,MAX(0,'Client Ramp'!E$9-6))</x:f>
        <x:v>3</x:v>
      </x:c>
      <x:c r="G5" s="44" t="n">
        <x:f>MIN(3,MAX(0,'Client Ramp'!F$9-6))</x:f>
        <x:v>3</x:v>
      </x:c>
      <x:c r="H5" s="44" t="n">
        <x:f>MIN(3,MAX(0,'Client Ramp'!G$9-6))</x:f>
        <x:v>3</x:v>
      </x:c>
      <x:c r="I5" s="44" t="n">
        <x:f>MIN(3,MAX(0,'Client Ramp'!H$9-6))</x:f>
        <x:v>3</x:v>
      </x:c>
      <x:c r="J5" s="44" t="n">
        <x:f>MIN(3,MAX(0,'Client Ramp'!I$9-6))</x:f>
        <x:v>3</x:v>
      </x:c>
      <x:c r="K5" s="44" t="n">
        <x:f>MIN(3,MAX(0,'Client Ramp'!J$9-6))</x:f>
        <x:v>3</x:v>
      </x:c>
      <x:c r="L5" s="44" t="n">
        <x:f>MIN(3,MAX(0,'Client Ramp'!K$9-6))</x:f>
        <x:v>3</x:v>
      </x:c>
      <x:c r="M5" s="44" t="n">
        <x:f>MIN(3,MAX(0,'Client Ramp'!L$9-6))</x:f>
        <x:v>3</x:v>
      </x:c>
      <x:c r="N5" s="44" t="n">
        <x:f>MIN(3,MAX(0,'Client Ramp'!M$9-6))</x:f>
        <x:v>3</x:v>
      </x:c>
      <x:c r="O5" s="44" t="n">
        <x:f>18*25%*(1-'Assumptions'!$B$11)</x:f>
        <x:v>4.2749999999999995</x:v>
      </x:c>
      <x:c r="P5" s="44" t="n">
        <x:f>18*25%*(1-'Assumptions'!$B$11)</x:f>
        <x:v>4.2749999999999995</x:v>
      </x:c>
      <x:c r="Q5" s="44" t="n">
        <x:f>18*25%*(1-'Assumptions'!$B$11)</x:f>
        <x:v>4.2749999999999995</x:v>
      </x:c>
      <x:c r="R5" s="44" t="n">
        <x:f>18*25%*(1-'Assumptions'!$B$11)</x:f>
        <x:v>4.2749999999999995</x:v>
      </x:c>
      <x:c r="S5" s="44" t="n">
        <x:f>18*25%*(1-'Assumptions'!$B$11)</x:f>
        <x:v>4.2749999999999995</x:v>
      </x:c>
      <x:c r="T5" s="44" t="n">
        <x:f>18*25%*(1-'Assumptions'!$B$11)</x:f>
        <x:v>4.2749999999999995</x:v>
      </x:c>
      <x:c r="U5" s="44" t="n">
        <x:f>18*25%*(1-'Assumptions'!$B$11)</x:f>
        <x:v>4.2749999999999995</x:v>
      </x:c>
      <x:c r="V5" s="44" t="n">
        <x:f>18*25%*(1-'Assumptions'!$B$11)</x:f>
        <x:v>4.2749999999999995</x:v>
      </x:c>
      <x:c r="W5" s="44" t="n">
        <x:f>18*25%*(1-'Assumptions'!$B$11)</x:f>
        <x:v>4.2749999999999995</x:v>
      </x:c>
      <x:c r="X5" s="44" t="n">
        <x:f>18*25%*(1-'Assumptions'!$B$11)</x:f>
        <x:v>4.2749999999999995</x:v>
      </x:c>
      <x:c r="Y5" s="44" t="n">
        <x:f>18*25%*(1-'Assumptions'!$B$11)</x:f>
        <x:v>4.2749999999999995</x:v>
      </x:c>
      <x:c r="Z5" s="44" t="n">
        <x:f>18*25%*(1-'Assumptions'!$B$11)</x:f>
        <x:v>4.2749999999999995</x:v>
      </x:c>
      <x:c r="AA5" s="44" t="n">
        <x:f>24*25%*(1-'Assumptions'!$B$11)</x:f>
        <x:v>5.699999999999999</x:v>
      </x:c>
      <x:c r="AB5" s="44" t="n">
        <x:f>24*25%*(1-'Assumptions'!$B$11)</x:f>
        <x:v>5.699999999999999</x:v>
      </x:c>
      <x:c r="AC5" s="44" t="n">
        <x:f>24*25%*(1-'Assumptions'!$B$11)</x:f>
        <x:v>5.699999999999999</x:v>
      </x:c>
      <x:c r="AD5" s="44" t="n">
        <x:f>24*25%*(1-'Assumptions'!$B$11)</x:f>
        <x:v>5.699999999999999</x:v>
      </x:c>
      <x:c r="AE5" s="44" t="n">
        <x:f>24*25%*(1-'Assumptions'!$B$11)</x:f>
        <x:v>5.699999999999999</x:v>
      </x:c>
      <x:c r="AF5" s="44" t="n">
        <x:f>24*25%*(1-'Assumptions'!$B$11)</x:f>
        <x:v>5.699999999999999</x:v>
      </x:c>
      <x:c r="AG5" s="44" t="n">
        <x:f>24*25%*(1-'Assumptions'!$B$11)</x:f>
        <x:v>5.699999999999999</x:v>
      </x:c>
      <x:c r="AH5" s="44" t="n">
        <x:f>24*25%*(1-'Assumptions'!$B$11)</x:f>
        <x:v>5.699999999999999</x:v>
      </x:c>
      <x:c r="AI5" s="44" t="n">
        <x:f>24*25%*(1-'Assumptions'!$B$11)</x:f>
        <x:v>5.699999999999999</x:v>
      </x:c>
      <x:c r="AJ5" s="44" t="n">
        <x:f>24*25%*(1-'Assumptions'!$B$11)</x:f>
        <x:v>5.699999999999999</x:v>
      </x:c>
      <x:c r="AK5" s="44" t="n">
        <x:f>24*25%*(1-'Assumptions'!$B$11)</x:f>
        <x:v>5.699999999999999</x:v>
      </x:c>
      <x:c r="AL5" s="44" t="n">
        <x:f>24*25%*(1-'Assumptions'!$B$11)</x:f>
        <x:v>5.699999999999999</x:v>
      </x:c>
    </x:row>
    <x:row r="6">
      <x:c r="A6" s="43" t="str">
        <x:v>Pilot/share active clients</x:v>
      </x:c>
      <x:c r="B6" s="44" t="n">
        <x:v>0</x:v>
      </x:c>
      <x:c r="C6" s="44" t="n">
        <x:f>MIN(3,MAX(0,'Client Ramp'!B$9-9))</x:f>
        <x:v>0</x:v>
      </x:c>
      <x:c r="D6" s="44" t="n">
        <x:f>MIN(3,MAX(0,'Client Ramp'!C$9-9))</x:f>
        <x:v>0</x:v>
      </x:c>
      <x:c r="E6" s="44" t="n">
        <x:f>MIN(3,MAX(0,'Client Ramp'!D$9-9))</x:f>
        <x:v>0</x:v>
      </x:c>
      <x:c r="F6" s="44" t="n">
        <x:f>MIN(3,MAX(0,'Client Ramp'!E$9-9))</x:f>
        <x:v>1</x:v>
      </x:c>
      <x:c r="G6" s="44" t="n">
        <x:f>MIN(3,MAX(0,'Client Ramp'!F$9-9))</x:f>
        <x:v>3</x:v>
      </x:c>
      <x:c r="H6" s="44" t="n">
        <x:f>MIN(3,MAX(0,'Client Ramp'!G$9-9))</x:f>
        <x:v>3</x:v>
      </x:c>
      <x:c r="I6" s="44" t="n">
        <x:f>MIN(3,MAX(0,'Client Ramp'!H$9-9))</x:f>
        <x:v>3</x:v>
      </x:c>
      <x:c r="J6" s="44" t="n">
        <x:f>MIN(3,MAX(0,'Client Ramp'!I$9-9))</x:f>
        <x:v>3</x:v>
      </x:c>
      <x:c r="K6" s="44" t="n">
        <x:f>MIN(3,MAX(0,'Client Ramp'!J$9-9))</x:f>
        <x:v>3</x:v>
      </x:c>
      <x:c r="L6" s="44" t="n">
        <x:f>MIN(3,MAX(0,'Client Ramp'!K$9-9))</x:f>
        <x:v>3</x:v>
      </x:c>
      <x:c r="M6" s="44" t="n">
        <x:f>MIN(3,MAX(0,'Client Ramp'!L$9-9))</x:f>
        <x:v>3</x:v>
      </x:c>
      <x:c r="N6" s="44" t="n">
        <x:f>MIN(3,MAX(0,'Client Ramp'!M$9-9))</x:f>
        <x:v>3</x:v>
      </x:c>
      <x:c r="O6" s="44" t="n">
        <x:f>18*25%*(1-'Assumptions'!$B$11)</x:f>
        <x:v>4.2749999999999995</x:v>
      </x:c>
      <x:c r="P6" s="44" t="n">
        <x:f>18*25%*(1-'Assumptions'!$B$11)</x:f>
        <x:v>4.2749999999999995</x:v>
      </x:c>
      <x:c r="Q6" s="44" t="n">
        <x:f>18*25%*(1-'Assumptions'!$B$11)</x:f>
        <x:v>4.2749999999999995</x:v>
      </x:c>
      <x:c r="R6" s="44" t="n">
        <x:f>18*25%*(1-'Assumptions'!$B$11)</x:f>
        <x:v>4.2749999999999995</x:v>
      </x:c>
      <x:c r="S6" s="44" t="n">
        <x:f>18*25%*(1-'Assumptions'!$B$11)</x:f>
        <x:v>4.2749999999999995</x:v>
      </x:c>
      <x:c r="T6" s="44" t="n">
        <x:f>18*25%*(1-'Assumptions'!$B$11)</x:f>
        <x:v>4.2749999999999995</x:v>
      </x:c>
      <x:c r="U6" s="44" t="n">
        <x:f>18*25%*(1-'Assumptions'!$B$11)</x:f>
        <x:v>4.2749999999999995</x:v>
      </x:c>
      <x:c r="V6" s="44" t="n">
        <x:f>18*25%*(1-'Assumptions'!$B$11)</x:f>
        <x:v>4.2749999999999995</x:v>
      </x:c>
      <x:c r="W6" s="44" t="n">
        <x:f>18*25%*(1-'Assumptions'!$B$11)</x:f>
        <x:v>4.2749999999999995</x:v>
      </x:c>
      <x:c r="X6" s="44" t="n">
        <x:f>18*25%*(1-'Assumptions'!$B$11)</x:f>
        <x:v>4.2749999999999995</x:v>
      </x:c>
      <x:c r="Y6" s="44" t="n">
        <x:f>18*25%*(1-'Assumptions'!$B$11)</x:f>
        <x:v>4.2749999999999995</x:v>
      </x:c>
      <x:c r="Z6" s="44" t="n">
        <x:f>18*25%*(1-'Assumptions'!$B$11)</x:f>
        <x:v>4.2749999999999995</x:v>
      </x:c>
      <x:c r="AA6" s="44" t="n">
        <x:f>24*25%*(1-'Assumptions'!$B$11)</x:f>
        <x:v>5.699999999999999</x:v>
      </x:c>
      <x:c r="AB6" s="44" t="n">
        <x:f>24*25%*(1-'Assumptions'!$B$11)</x:f>
        <x:v>5.699999999999999</x:v>
      </x:c>
      <x:c r="AC6" s="44" t="n">
        <x:f>24*25%*(1-'Assumptions'!$B$11)</x:f>
        <x:v>5.699999999999999</x:v>
      </x:c>
      <x:c r="AD6" s="44" t="n">
        <x:f>24*25%*(1-'Assumptions'!$B$11)</x:f>
        <x:v>5.699999999999999</x:v>
      </x:c>
      <x:c r="AE6" s="44" t="n">
        <x:f>24*25%*(1-'Assumptions'!$B$11)</x:f>
        <x:v>5.699999999999999</x:v>
      </x:c>
      <x:c r="AF6" s="44" t="n">
        <x:f>24*25%*(1-'Assumptions'!$B$11)</x:f>
        <x:v>5.699999999999999</x:v>
      </x:c>
      <x:c r="AG6" s="44" t="n">
        <x:f>24*25%*(1-'Assumptions'!$B$11)</x:f>
        <x:v>5.699999999999999</x:v>
      </x:c>
      <x:c r="AH6" s="44" t="n">
        <x:f>24*25%*(1-'Assumptions'!$B$11)</x:f>
        <x:v>5.699999999999999</x:v>
      </x:c>
      <x:c r="AI6" s="44" t="n">
        <x:f>24*25%*(1-'Assumptions'!$B$11)</x:f>
        <x:v>5.699999999999999</x:v>
      </x:c>
      <x:c r="AJ6" s="44" t="n">
        <x:f>24*25%*(1-'Assumptions'!$B$11)</x:f>
        <x:v>5.699999999999999</x:v>
      </x:c>
      <x:c r="AK6" s="44" t="n">
        <x:f>24*25%*(1-'Assumptions'!$B$11)</x:f>
        <x:v>5.699999999999999</x:v>
      </x:c>
      <x:c r="AL6" s="44" t="n">
        <x:f>24*25%*(1-'Assumptions'!$B$11)</x:f>
        <x:v>5.699999999999999</x:v>
      </x:c>
    </x:row>
    <x:row r="7">
      <x:c r="A7" s="43" t="str">
        <x:v>Retainer gross revenue</x:v>
      </x:c>
      <x:c r="B7" s="44" t="n">
        <x:v>0</x:v>
      </x:c>
      <x:c r="C7" s="44" t="n">
        <x:f>C4*10000*1</x:f>
        <x:v>30000</x:v>
      </x:c>
      <x:c r="D7" s="44" t="n">
        <x:f>D4*10000*1</x:f>
        <x:v>60000</x:v>
      </x:c>
      <x:c r="E7" s="44" t="n">
        <x:f>E4*10000*1</x:f>
        <x:v>60000</x:v>
      </x:c>
      <x:c r="F7" s="44" t="n">
        <x:f>F4*10000*1</x:f>
        <x:v>60000</x:v>
      </x:c>
      <x:c r="G7" s="44" t="n">
        <x:f>G4*10000*1</x:f>
        <x:v>60000</x:v>
      </x:c>
      <x:c r="H7" s="44" t="n">
        <x:f>H4*10000*1</x:f>
        <x:v>60000</x:v>
      </x:c>
      <x:c r="I7" s="44" t="n">
        <x:f>I4*'Assumptions'!$G$16*1</x:f>
        <x:v>66000</x:v>
      </x:c>
      <x:c r="J7" s="44" t="n">
        <x:f>J4*'Assumptions'!$G$16*1</x:f>
        <x:v>66000</x:v>
      </x:c>
      <x:c r="K7" s="44" t="n">
        <x:f>K4*'Assumptions'!$G$16*1</x:f>
        <x:v>66000</x:v>
      </x:c>
      <x:c r="L7" s="44" t="n">
        <x:f>L4*'Assumptions'!$G$16*1</x:f>
        <x:v>66000</x:v>
      </x:c>
      <x:c r="M7" s="44" t="n">
        <x:f>M4*'Assumptions'!$G$16*1</x:f>
        <x:v>66000</x:v>
      </x:c>
      <x:c r="N7" s="44" t="n">
        <x:f>N4*'Assumptions'!$G$16*1</x:f>
        <x:v>66000</x:v>
      </x:c>
      <x:c r="O7" s="44" t="n">
        <x:f>O4*'Assumptions'!$G$16*(1+'Assumptions'!$B$12)</x:f>
        <x:v>103454.99999999999</x:v>
      </x:c>
      <x:c r="P7" s="44" t="n">
        <x:f>P4*'Assumptions'!$G$16*(1+'Assumptions'!$B$12)</x:f>
        <x:v>103454.99999999999</x:v>
      </x:c>
      <x:c r="Q7" s="44" t="n">
        <x:f>Q4*'Assumptions'!$G$16*(1+'Assumptions'!$B$12)</x:f>
        <x:v>103454.99999999999</x:v>
      </x:c>
      <x:c r="R7" s="44" t="n">
        <x:f>R4*'Assumptions'!$G$16*(1+'Assumptions'!$B$12)</x:f>
        <x:v>103454.99999999999</x:v>
      </x:c>
      <x:c r="S7" s="44" t="n">
        <x:f>S4*'Assumptions'!$G$16*(1+'Assumptions'!$B$12)</x:f>
        <x:v>103454.99999999999</x:v>
      </x:c>
      <x:c r="T7" s="44" t="n">
        <x:f>T4*'Assumptions'!$G$16*(1+'Assumptions'!$B$12)</x:f>
        <x:v>103454.99999999999</x:v>
      </x:c>
      <x:c r="U7" s="44" t="n">
        <x:f>U4*'Assumptions'!$G$16*(1+'Assumptions'!$B$12)</x:f>
        <x:v>103454.99999999999</x:v>
      </x:c>
      <x:c r="V7" s="44" t="n">
        <x:f>V4*'Assumptions'!$G$16*(1+'Assumptions'!$B$12)</x:f>
        <x:v>103454.99999999999</x:v>
      </x:c>
      <x:c r="W7" s="44" t="n">
        <x:f>W4*'Assumptions'!$G$16*(1+'Assumptions'!$B$12)</x:f>
        <x:v>103454.99999999999</x:v>
      </x:c>
      <x:c r="X7" s="44" t="n">
        <x:f>X4*'Assumptions'!$G$16*(1+'Assumptions'!$B$12)</x:f>
        <x:v>103454.99999999999</x:v>
      </x:c>
      <x:c r="Y7" s="44" t="n">
        <x:f>Y4*'Assumptions'!$G$16*(1+'Assumptions'!$B$12)</x:f>
        <x:v>103454.99999999999</x:v>
      </x:c>
      <x:c r="Z7" s="44" t="n">
        <x:f>Z4*'Assumptions'!$G$16*(1+'Assumptions'!$B$12)</x:f>
        <x:v>103454.99999999999</x:v>
      </x:c>
      <x:c r="AA7" s="44" t="n">
        <x:f>AA4*'Assumptions'!$G$16*(1+'Assumptions'!$B$12)^2</x:f>
        <x:v>151734</x:v>
      </x:c>
      <x:c r="AB7" s="44" t="n">
        <x:f>AB4*'Assumptions'!$G$16*(1+'Assumptions'!$B$12)^2</x:f>
        <x:v>151734</x:v>
      </x:c>
      <x:c r="AC7" s="44" t="n">
        <x:f>AC4*'Assumptions'!$G$16*(1+'Assumptions'!$B$12)^2</x:f>
        <x:v>151734</x:v>
      </x:c>
      <x:c r="AD7" s="44" t="n">
        <x:f>AD4*'Assumptions'!$G$16*(1+'Assumptions'!$B$12)^2</x:f>
        <x:v>151734</x:v>
      </x:c>
      <x:c r="AE7" s="44" t="n">
        <x:f>AE4*'Assumptions'!$G$16*(1+'Assumptions'!$B$12)^2</x:f>
        <x:v>151734</x:v>
      </x:c>
      <x:c r="AF7" s="44" t="n">
        <x:f>AF4*'Assumptions'!$G$16*(1+'Assumptions'!$B$12)^2</x:f>
        <x:v>151734</x:v>
      </x:c>
      <x:c r="AG7" s="44" t="n">
        <x:f>AG4*'Assumptions'!$G$16*(1+'Assumptions'!$B$12)^2</x:f>
        <x:v>151734</x:v>
      </x:c>
      <x:c r="AH7" s="44" t="n">
        <x:f>AH4*'Assumptions'!$G$16*(1+'Assumptions'!$B$12)^2</x:f>
        <x:v>151734</x:v>
      </x:c>
      <x:c r="AI7" s="44" t="n">
        <x:f>AI4*'Assumptions'!$G$16*(1+'Assumptions'!$B$12)^2</x:f>
        <x:v>151734</x:v>
      </x:c>
      <x:c r="AJ7" s="44" t="n">
        <x:f>AJ4*'Assumptions'!$G$16*(1+'Assumptions'!$B$12)^2</x:f>
        <x:v>151734</x:v>
      </x:c>
      <x:c r="AK7" s="44" t="n">
        <x:f>AK4*'Assumptions'!$G$16*(1+'Assumptions'!$B$12)^2</x:f>
        <x:v>151734</x:v>
      </x:c>
      <x:c r="AL7" s="44" t="n">
        <x:f>AL4*'Assumptions'!$G$16*(1+'Assumptions'!$B$12)^2</x:f>
        <x:v>151734</x:v>
      </x:c>
    </x:row>
    <x:row r="8">
      <x:c r="A8" s="43" t="str">
        <x:v>Commission gross revenue</x:v>
      </x:c>
      <x:c r="B8" s="44" t="n">
        <x:v>0</x:v>
      </x:c>
      <x:c r="C8" s="44" t="n">
        <x:f>C5*10000*1</x:f>
        <x:v>0</x:v>
      </x:c>
      <x:c r="D8" s="44" t="n">
        <x:f>D5*10000*1</x:f>
        <x:v>0</x:v>
      </x:c>
      <x:c r="E8" s="44" t="n">
        <x:f>E5*10000*1</x:f>
        <x:v>20000</x:v>
      </x:c>
      <x:c r="F8" s="44" t="n">
        <x:f>F5*10000*1</x:f>
        <x:v>30000</x:v>
      </x:c>
      <x:c r="G8" s="44" t="n">
        <x:f>G5*10000*1</x:f>
        <x:v>30000</x:v>
      </x:c>
      <x:c r="H8" s="44" t="n">
        <x:f>H5*10000*1</x:f>
        <x:v>30000</x:v>
      </x:c>
      <x:c r="I8" s="44" t="n">
        <x:f>I5*'Assumptions'!$G$17*1</x:f>
        <x:v>36000</x:v>
      </x:c>
      <x:c r="J8" s="44" t="n">
        <x:f>J5*'Assumptions'!$G$17*1</x:f>
        <x:v>36000</x:v>
      </x:c>
      <x:c r="K8" s="44" t="n">
        <x:f>K5*'Assumptions'!$G$17*1</x:f>
        <x:v>36000</x:v>
      </x:c>
      <x:c r="L8" s="44" t="n">
        <x:f>L5*'Assumptions'!$G$17*1</x:f>
        <x:v>36000</x:v>
      </x:c>
      <x:c r="M8" s="44" t="n">
        <x:f>M5*'Assumptions'!$G$17*1</x:f>
        <x:v>36000</x:v>
      </x:c>
      <x:c r="N8" s="44" t="n">
        <x:f>N5*'Assumptions'!$G$17*1</x:f>
        <x:v>36000</x:v>
      </x:c>
      <x:c r="O8" s="44" t="n">
        <x:f>O5*'Assumptions'!$G$17*(1+'Assumptions'!$B$12)</x:f>
        <x:v>56430</x:v>
      </x:c>
      <x:c r="P8" s="44" t="n">
        <x:f>P5*'Assumptions'!$G$17*(1+'Assumptions'!$B$12)</x:f>
        <x:v>56430</x:v>
      </x:c>
      <x:c r="Q8" s="44" t="n">
        <x:f>Q5*'Assumptions'!$G$17*(1+'Assumptions'!$B$12)</x:f>
        <x:v>56430</x:v>
      </x:c>
      <x:c r="R8" s="44" t="n">
        <x:f>R5*'Assumptions'!$G$17*(1+'Assumptions'!$B$12)</x:f>
        <x:v>56430</x:v>
      </x:c>
      <x:c r="S8" s="44" t="n">
        <x:f>S5*'Assumptions'!$G$17*(1+'Assumptions'!$B$12)</x:f>
        <x:v>56430</x:v>
      </x:c>
      <x:c r="T8" s="44" t="n">
        <x:f>T5*'Assumptions'!$G$17*(1+'Assumptions'!$B$12)</x:f>
        <x:v>56430</x:v>
      </x:c>
      <x:c r="U8" s="44" t="n">
        <x:f>U5*'Assumptions'!$G$17*(1+'Assumptions'!$B$12)</x:f>
        <x:v>56430</x:v>
      </x:c>
      <x:c r="V8" s="44" t="n">
        <x:f>V5*'Assumptions'!$G$17*(1+'Assumptions'!$B$12)</x:f>
        <x:v>56430</x:v>
      </x:c>
      <x:c r="W8" s="44" t="n">
        <x:f>W5*'Assumptions'!$G$17*(1+'Assumptions'!$B$12)</x:f>
        <x:v>56430</x:v>
      </x:c>
      <x:c r="X8" s="44" t="n">
        <x:f>X5*'Assumptions'!$G$17*(1+'Assumptions'!$B$12)</x:f>
        <x:v>56430</x:v>
      </x:c>
      <x:c r="Y8" s="44" t="n">
        <x:f>Y5*'Assumptions'!$G$17*(1+'Assumptions'!$B$12)</x:f>
        <x:v>56430</x:v>
      </x:c>
      <x:c r="Z8" s="44" t="n">
        <x:f>Z5*'Assumptions'!$G$17*(1+'Assumptions'!$B$12)</x:f>
        <x:v>56430</x:v>
      </x:c>
      <x:c r="AA8" s="44" t="n">
        <x:f>AA5*'Assumptions'!$G$17*(1+'Assumptions'!$B$12)^2</x:f>
        <x:v>82764</x:v>
      </x:c>
      <x:c r="AB8" s="44" t="n">
        <x:f>AB5*'Assumptions'!$G$17*(1+'Assumptions'!$B$12)^2</x:f>
        <x:v>82764</x:v>
      </x:c>
      <x:c r="AC8" s="44" t="n">
        <x:f>AC5*'Assumptions'!$G$17*(1+'Assumptions'!$B$12)^2</x:f>
        <x:v>82764</x:v>
      </x:c>
      <x:c r="AD8" s="44" t="n">
        <x:f>AD5*'Assumptions'!$G$17*(1+'Assumptions'!$B$12)^2</x:f>
        <x:v>82764</x:v>
      </x:c>
      <x:c r="AE8" s="44" t="n">
        <x:f>AE5*'Assumptions'!$G$17*(1+'Assumptions'!$B$12)^2</x:f>
        <x:v>82764</x:v>
      </x:c>
      <x:c r="AF8" s="44" t="n">
        <x:f>AF5*'Assumptions'!$G$17*(1+'Assumptions'!$B$12)^2</x:f>
        <x:v>82764</x:v>
      </x:c>
      <x:c r="AG8" s="44" t="n">
        <x:f>AG5*'Assumptions'!$G$17*(1+'Assumptions'!$B$12)^2</x:f>
        <x:v>82764</x:v>
      </x:c>
      <x:c r="AH8" s="44" t="n">
        <x:f>AH5*'Assumptions'!$G$17*(1+'Assumptions'!$B$12)^2</x:f>
        <x:v>82764</x:v>
      </x:c>
      <x:c r="AI8" s="44" t="n">
        <x:f>AI5*'Assumptions'!$G$17*(1+'Assumptions'!$B$12)^2</x:f>
        <x:v>82764</x:v>
      </x:c>
      <x:c r="AJ8" s="44" t="n">
        <x:f>AJ5*'Assumptions'!$G$17*(1+'Assumptions'!$B$12)^2</x:f>
        <x:v>82764</x:v>
      </x:c>
      <x:c r="AK8" s="44" t="n">
        <x:f>AK5*'Assumptions'!$G$17*(1+'Assumptions'!$B$12)^2</x:f>
        <x:v>82764</x:v>
      </x:c>
      <x:c r="AL8" s="44" t="n">
        <x:f>AL5*'Assumptions'!$G$17*(1+'Assumptions'!$B$12)^2</x:f>
        <x:v>82764</x:v>
      </x:c>
    </x:row>
    <x:row r="9">
      <x:c r="A9" s="43" t="str">
        <x:v>Pilot/share gross revenue</x:v>
      </x:c>
      <x:c r="B9" s="44" t="n">
        <x:v>0</x:v>
      </x:c>
      <x:c r="C9" s="44" t="n">
        <x:f>C6*10000*1</x:f>
        <x:v>0</x:v>
      </x:c>
      <x:c r="D9" s="44" t="n">
        <x:f>D6*10000*1</x:f>
        <x:v>0</x:v>
      </x:c>
      <x:c r="E9" s="44" t="n">
        <x:f>E6*10000*1</x:f>
        <x:v>0</x:v>
      </x:c>
      <x:c r="F9" s="44" t="n">
        <x:f>F6*10000*1</x:f>
        <x:v>10000</x:v>
      </x:c>
      <x:c r="G9" s="44" t="n">
        <x:f>G6*10000*1</x:f>
        <x:v>30000</x:v>
      </x:c>
      <x:c r="H9" s="44" t="n">
        <x:f>H6*10000*1</x:f>
        <x:v>30000</x:v>
      </x:c>
      <x:c r="I9" s="44" t="n">
        <x:f>I6*'Assumptions'!$G$18*1</x:f>
        <x:v>45000</x:v>
      </x:c>
      <x:c r="J9" s="44" t="n">
        <x:f>J6*'Assumptions'!$G$18*1</x:f>
        <x:v>45000</x:v>
      </x:c>
      <x:c r="K9" s="44" t="n">
        <x:f>K6*'Assumptions'!$G$18*1</x:f>
        <x:v>45000</x:v>
      </x:c>
      <x:c r="L9" s="44" t="n">
        <x:f>L6*'Assumptions'!$G$18*1</x:f>
        <x:v>45000</x:v>
      </x:c>
      <x:c r="M9" s="44" t="n">
        <x:f>M6*'Assumptions'!$G$18*1</x:f>
        <x:v>45000</x:v>
      </x:c>
      <x:c r="N9" s="44" t="n">
        <x:f>N6*'Assumptions'!$G$18*1</x:f>
        <x:v>45000</x:v>
      </x:c>
      <x:c r="O9" s="44" t="n">
        <x:f>O6*'Assumptions'!$G$18*(1+'Assumptions'!$B$12)</x:f>
        <x:v>70537.5</x:v>
      </x:c>
      <x:c r="P9" s="44" t="n">
        <x:f>P6*'Assumptions'!$G$18*(1+'Assumptions'!$B$12)</x:f>
        <x:v>70537.5</x:v>
      </x:c>
      <x:c r="Q9" s="44" t="n">
        <x:f>Q6*'Assumptions'!$G$18*(1+'Assumptions'!$B$12)</x:f>
        <x:v>70537.5</x:v>
      </x:c>
      <x:c r="R9" s="44" t="n">
        <x:f>R6*'Assumptions'!$G$18*(1+'Assumptions'!$B$12)</x:f>
        <x:v>70537.5</x:v>
      </x:c>
      <x:c r="S9" s="44" t="n">
        <x:f>S6*'Assumptions'!$G$18*(1+'Assumptions'!$B$12)</x:f>
        <x:v>70537.5</x:v>
      </x:c>
      <x:c r="T9" s="44" t="n">
        <x:f>T6*'Assumptions'!$G$18*(1+'Assumptions'!$B$12)</x:f>
        <x:v>70537.5</x:v>
      </x:c>
      <x:c r="U9" s="44" t="n">
        <x:f>U6*'Assumptions'!$G$18*(1+'Assumptions'!$B$12)</x:f>
        <x:v>70537.5</x:v>
      </x:c>
      <x:c r="V9" s="44" t="n">
        <x:f>V6*'Assumptions'!$G$18*(1+'Assumptions'!$B$12)</x:f>
        <x:v>70537.5</x:v>
      </x:c>
      <x:c r="W9" s="44" t="n">
        <x:f>W6*'Assumptions'!$G$18*(1+'Assumptions'!$B$12)</x:f>
        <x:v>70537.5</x:v>
      </x:c>
      <x:c r="X9" s="44" t="n">
        <x:f>X6*'Assumptions'!$G$18*(1+'Assumptions'!$B$12)</x:f>
        <x:v>70537.5</x:v>
      </x:c>
      <x:c r="Y9" s="44" t="n">
        <x:f>Y6*'Assumptions'!$G$18*(1+'Assumptions'!$B$12)</x:f>
        <x:v>70537.5</x:v>
      </x:c>
      <x:c r="Z9" s="44" t="n">
        <x:f>Z6*'Assumptions'!$G$18*(1+'Assumptions'!$B$12)</x:f>
        <x:v>70537.5</x:v>
      </x:c>
      <x:c r="AA9" s="44" t="n">
        <x:f>AA6*'Assumptions'!$G$18*(1+'Assumptions'!$B$12)^2</x:f>
        <x:v>103455</x:v>
      </x:c>
      <x:c r="AB9" s="44" t="n">
        <x:f>AB6*'Assumptions'!$G$18*(1+'Assumptions'!$B$12)^2</x:f>
        <x:v>103455</x:v>
      </x:c>
      <x:c r="AC9" s="44" t="n">
        <x:f>AC6*'Assumptions'!$G$18*(1+'Assumptions'!$B$12)^2</x:f>
        <x:v>103455</x:v>
      </x:c>
      <x:c r="AD9" s="44" t="n">
        <x:f>AD6*'Assumptions'!$G$18*(1+'Assumptions'!$B$12)^2</x:f>
        <x:v>103455</x:v>
      </x:c>
      <x:c r="AE9" s="44" t="n">
        <x:f>AE6*'Assumptions'!$G$18*(1+'Assumptions'!$B$12)^2</x:f>
        <x:v>103455</x:v>
      </x:c>
      <x:c r="AF9" s="44" t="n">
        <x:f>AF6*'Assumptions'!$G$18*(1+'Assumptions'!$B$12)^2</x:f>
        <x:v>103455</x:v>
      </x:c>
      <x:c r="AG9" s="44" t="n">
        <x:f>AG6*'Assumptions'!$G$18*(1+'Assumptions'!$B$12)^2</x:f>
        <x:v>103455</x:v>
      </x:c>
      <x:c r="AH9" s="44" t="n">
        <x:f>AH6*'Assumptions'!$G$18*(1+'Assumptions'!$B$12)^2</x:f>
        <x:v>103455</x:v>
      </x:c>
      <x:c r="AI9" s="44" t="n">
        <x:f>AI6*'Assumptions'!$G$18*(1+'Assumptions'!$B$12)^2</x:f>
        <x:v>103455</x:v>
      </x:c>
      <x:c r="AJ9" s="44" t="n">
        <x:f>AJ6*'Assumptions'!$G$18*(1+'Assumptions'!$B$12)^2</x:f>
        <x:v>103455</x:v>
      </x:c>
      <x:c r="AK9" s="44" t="n">
        <x:f>AK6*'Assumptions'!$G$18*(1+'Assumptions'!$B$12)^2</x:f>
        <x:v>103455</x:v>
      </x:c>
      <x:c r="AL9" s="44" t="n">
        <x:f>AL6*'Assumptions'!$G$18*(1+'Assumptions'!$B$12)^2</x:f>
        <x:v>103455</x:v>
      </x:c>
    </x:row>
    <x:row r="10">
      <x:c r="A10" s="51" t="str">
        <x:v>Gross Revenue</x:v>
      </x:c>
      <x:c r="B10" s="52" t="n">
        <x:v>0</x:v>
      </x:c>
      <x:c r="C10" s="52" t="n">
        <x:f>SUM(C7:C9)</x:f>
        <x:v>30000</x:v>
      </x:c>
      <x:c r="D10" s="52" t="n">
        <x:f>SUM(D7:D9)</x:f>
        <x:v>60000</x:v>
      </x:c>
      <x:c r="E10" s="52" t="n">
        <x:f>SUM(E7:E9)</x:f>
        <x:v>80000</x:v>
      </x:c>
      <x:c r="F10" s="52" t="n">
        <x:f>SUM(F7:F9)</x:f>
        <x:v>100000</x:v>
      </x:c>
      <x:c r="G10" s="52" t="n">
        <x:f>SUM(G7:G9)</x:f>
        <x:v>120000</x:v>
      </x:c>
      <x:c r="H10" s="52" t="n">
        <x:f>SUM(H7:H9)</x:f>
        <x:v>120000</x:v>
      </x:c>
      <x:c r="I10" s="52" t="n">
        <x:f>SUM(I7:I9)</x:f>
        <x:v>147000</x:v>
      </x:c>
      <x:c r="J10" s="52" t="n">
        <x:f>SUM(J7:J9)</x:f>
        <x:v>147000</x:v>
      </x:c>
      <x:c r="K10" s="52" t="n">
        <x:f>SUM(K7:K9)</x:f>
        <x:v>147000</x:v>
      </x:c>
      <x:c r="L10" s="52" t="n">
        <x:f>SUM(L7:L9)</x:f>
        <x:v>147000</x:v>
      </x:c>
      <x:c r="M10" s="52" t="n">
        <x:f>SUM(M7:M9)</x:f>
        <x:v>147000</x:v>
      </x:c>
      <x:c r="N10" s="52" t="n">
        <x:f>SUM(N7:N9)</x:f>
        <x:v>147000</x:v>
      </x:c>
      <x:c r="O10" s="52" t="n">
        <x:f>SUM(O7:O9)</x:f>
        <x:v>230422.5</x:v>
      </x:c>
      <x:c r="P10" s="52" t="n">
        <x:f>SUM(P7:P9)</x:f>
        <x:v>230422.5</x:v>
      </x:c>
      <x:c r="Q10" s="52" t="n">
        <x:f>SUM(Q7:Q9)</x:f>
        <x:v>230422.5</x:v>
      </x:c>
      <x:c r="R10" s="52" t="n">
        <x:f>SUM(R7:R9)</x:f>
        <x:v>230422.5</x:v>
      </x:c>
      <x:c r="S10" s="52" t="n">
        <x:f>SUM(S7:S9)</x:f>
        <x:v>230422.5</x:v>
      </x:c>
      <x:c r="T10" s="52" t="n">
        <x:f>SUM(T7:T9)</x:f>
        <x:v>230422.5</x:v>
      </x:c>
      <x:c r="U10" s="52" t="n">
        <x:f>SUM(U7:U9)</x:f>
        <x:v>230422.5</x:v>
      </x:c>
      <x:c r="V10" s="52" t="n">
        <x:f>SUM(V7:V9)</x:f>
        <x:v>230422.5</x:v>
      </x:c>
      <x:c r="W10" s="52" t="n">
        <x:f>SUM(W7:W9)</x:f>
        <x:v>230422.5</x:v>
      </x:c>
      <x:c r="X10" s="52" t="n">
        <x:f>SUM(X7:X9)</x:f>
        <x:v>230422.5</x:v>
      </x:c>
      <x:c r="Y10" s="52" t="n">
        <x:f>SUM(Y7:Y9)</x:f>
        <x:v>230422.5</x:v>
      </x:c>
      <x:c r="Z10" s="52" t="n">
        <x:f>SUM(Z7:Z9)</x:f>
        <x:v>230422.5</x:v>
      </x:c>
      <x:c r="AA10" s="52" t="n">
        <x:f>SUM(AA7:AA9)</x:f>
        <x:v>337953</x:v>
      </x:c>
      <x:c r="AB10" s="52" t="n">
        <x:f>SUM(AB7:AB9)</x:f>
        <x:v>337953</x:v>
      </x:c>
      <x:c r="AC10" s="52" t="n">
        <x:f>SUM(AC7:AC9)</x:f>
        <x:v>337953</x:v>
      </x:c>
      <x:c r="AD10" s="52" t="n">
        <x:f>SUM(AD7:AD9)</x:f>
        <x:v>337953</x:v>
      </x:c>
      <x:c r="AE10" s="52" t="n">
        <x:f>SUM(AE7:AE9)</x:f>
        <x:v>337953</x:v>
      </x:c>
      <x:c r="AF10" s="52" t="n">
        <x:f>SUM(AF7:AF9)</x:f>
        <x:v>337953</x:v>
      </x:c>
      <x:c r="AG10" s="52" t="n">
        <x:f>SUM(AG7:AG9)</x:f>
        <x:v>337953</x:v>
      </x:c>
      <x:c r="AH10" s="52" t="n">
        <x:f>SUM(AH7:AH9)</x:f>
        <x:v>337953</x:v>
      </x:c>
      <x:c r="AI10" s="52" t="n">
        <x:f>SUM(AI7:AI9)</x:f>
        <x:v>337953</x:v>
      </x:c>
      <x:c r="AJ10" s="52" t="n">
        <x:f>SUM(AJ7:AJ9)</x:f>
        <x:v>337953</x:v>
      </x:c>
      <x:c r="AK10" s="52" t="n">
        <x:f>SUM(AK7:AK9)</x:f>
        <x:v>337953</x:v>
      </x:c>
      <x:c r="AL10" s="52" t="n">
        <x:f>SUM(AL7:AL9)</x:f>
        <x:v>337953</x:v>
      </x:c>
    </x:row>
    <x:row r="11">
      <x:c r="A11" s="43" t="str">
        <x:v>Bad Debt Reserve</x:v>
      </x:c>
      <x:c r="B11" s="44" t="n">
        <x:v>0</x:v>
      </x:c>
      <x:c r="C11" s="44" t="n">
        <x:f>-C10*'Assumptions'!$B$10</x:f>
        <x:v>-600</x:v>
      </x:c>
      <x:c r="D11" s="44" t="n">
        <x:f>-D10*'Assumptions'!$B$10</x:f>
        <x:v>-1200</x:v>
      </x:c>
      <x:c r="E11" s="44" t="n">
        <x:f>-E10*'Assumptions'!$B$10</x:f>
        <x:v>-1600</x:v>
      </x:c>
      <x:c r="F11" s="44" t="n">
        <x:f>-F10*'Assumptions'!$B$10</x:f>
        <x:v>-2000</x:v>
      </x:c>
      <x:c r="G11" s="44" t="n">
        <x:f>-G10*'Assumptions'!$B$10</x:f>
        <x:v>-2400</x:v>
      </x:c>
      <x:c r="H11" s="44" t="n">
        <x:f>-H10*'Assumptions'!$B$10</x:f>
        <x:v>-2400</x:v>
      </x:c>
      <x:c r="I11" s="44" t="n">
        <x:f>-I10*'Assumptions'!$B$10</x:f>
        <x:v>-2940</x:v>
      </x:c>
      <x:c r="J11" s="44" t="n">
        <x:f>-J10*'Assumptions'!$B$10</x:f>
        <x:v>-2940</x:v>
      </x:c>
      <x:c r="K11" s="44" t="n">
        <x:f>-K10*'Assumptions'!$B$10</x:f>
        <x:v>-2940</x:v>
      </x:c>
      <x:c r="L11" s="44" t="n">
        <x:f>-L10*'Assumptions'!$B$10</x:f>
        <x:v>-2940</x:v>
      </x:c>
      <x:c r="M11" s="44" t="n">
        <x:f>-M10*'Assumptions'!$B$10</x:f>
        <x:v>-2940</x:v>
      </x:c>
      <x:c r="N11" s="44" t="n">
        <x:f>-N10*'Assumptions'!$B$10</x:f>
        <x:v>-2940</x:v>
      </x:c>
      <x:c r="O11" s="44" t="n">
        <x:f>-O10*'Assumptions'!$B$10</x:f>
        <x:v>-4608.45</x:v>
      </x:c>
      <x:c r="P11" s="44" t="n">
        <x:f>-P10*'Assumptions'!$B$10</x:f>
        <x:v>-4608.45</x:v>
      </x:c>
      <x:c r="Q11" s="44" t="n">
        <x:f>-Q10*'Assumptions'!$B$10</x:f>
        <x:v>-4608.45</x:v>
      </x:c>
      <x:c r="R11" s="44" t="n">
        <x:f>-R10*'Assumptions'!$B$10</x:f>
        <x:v>-4608.45</x:v>
      </x:c>
      <x:c r="S11" s="44" t="n">
        <x:f>-S10*'Assumptions'!$B$10</x:f>
        <x:v>-4608.45</x:v>
      </x:c>
      <x:c r="T11" s="44" t="n">
        <x:f>-T10*'Assumptions'!$B$10</x:f>
        <x:v>-4608.45</x:v>
      </x:c>
      <x:c r="U11" s="44" t="n">
        <x:f>-U10*'Assumptions'!$B$10</x:f>
        <x:v>-4608.45</x:v>
      </x:c>
      <x:c r="V11" s="44" t="n">
        <x:f>-V10*'Assumptions'!$B$10</x:f>
        <x:v>-4608.45</x:v>
      </x:c>
      <x:c r="W11" s="44" t="n">
        <x:f>-W10*'Assumptions'!$B$10</x:f>
        <x:v>-4608.45</x:v>
      </x:c>
      <x:c r="X11" s="44" t="n">
        <x:f>-X10*'Assumptions'!$B$10</x:f>
        <x:v>-4608.45</x:v>
      </x:c>
      <x:c r="Y11" s="44" t="n">
        <x:f>-Y10*'Assumptions'!$B$10</x:f>
        <x:v>-4608.45</x:v>
      </x:c>
      <x:c r="Z11" s="44" t="n">
        <x:f>-Z10*'Assumptions'!$B$10</x:f>
        <x:v>-4608.45</x:v>
      </x:c>
      <x:c r="AA11" s="44" t="n">
        <x:f>-AA10*'Assumptions'!$B$10</x:f>
        <x:v>-6759.06</x:v>
      </x:c>
      <x:c r="AB11" s="44" t="n">
        <x:f>-AB10*'Assumptions'!$B$10</x:f>
        <x:v>-6759.06</x:v>
      </x:c>
      <x:c r="AC11" s="44" t="n">
        <x:f>-AC10*'Assumptions'!$B$10</x:f>
        <x:v>-6759.06</x:v>
      </x:c>
      <x:c r="AD11" s="44" t="n">
        <x:f>-AD10*'Assumptions'!$B$10</x:f>
        <x:v>-6759.06</x:v>
      </x:c>
      <x:c r="AE11" s="44" t="n">
        <x:f>-AE10*'Assumptions'!$B$10</x:f>
        <x:v>-6759.06</x:v>
      </x:c>
      <x:c r="AF11" s="44" t="n">
        <x:f>-AF10*'Assumptions'!$B$10</x:f>
        <x:v>-6759.06</x:v>
      </x:c>
      <x:c r="AG11" s="44" t="n">
        <x:f>-AG10*'Assumptions'!$B$10</x:f>
        <x:v>-6759.06</x:v>
      </x:c>
      <x:c r="AH11" s="44" t="n">
        <x:f>-AH10*'Assumptions'!$B$10</x:f>
        <x:v>-6759.06</x:v>
      </x:c>
      <x:c r="AI11" s="44" t="n">
        <x:f>-AI10*'Assumptions'!$B$10</x:f>
        <x:v>-6759.06</x:v>
      </x:c>
      <x:c r="AJ11" s="44" t="n">
        <x:f>-AJ10*'Assumptions'!$B$10</x:f>
        <x:v>-6759.06</x:v>
      </x:c>
      <x:c r="AK11" s="44" t="n">
        <x:f>-AK10*'Assumptions'!$B$10</x:f>
        <x:v>-6759.06</x:v>
      </x:c>
      <x:c r="AL11" s="44" t="n">
        <x:f>-AL10*'Assumptions'!$B$10</x:f>
        <x:v>-6759.06</x:v>
      </x:c>
    </x:row>
    <x:row r="12">
      <x:c r="A12" s="51" t="str">
        <x:v>Net Revenue</x:v>
      </x:c>
      <x:c r="B12" s="52" t="n">
        <x:v>0</x:v>
      </x:c>
      <x:c r="C12" s="52" t="n">
        <x:f>SUM(C10:C11)</x:f>
        <x:v>29400</x:v>
      </x:c>
      <x:c r="D12" s="52" t="n">
        <x:f>SUM(D10:D11)</x:f>
        <x:v>58800</x:v>
      </x:c>
      <x:c r="E12" s="52" t="n">
        <x:f>SUM(E10:E11)</x:f>
        <x:v>78400</x:v>
      </x:c>
      <x:c r="F12" s="52" t="n">
        <x:f>SUM(F10:F11)</x:f>
        <x:v>98000</x:v>
      </x:c>
      <x:c r="G12" s="52" t="n">
        <x:f>SUM(G10:G11)</x:f>
        <x:v>117600</x:v>
      </x:c>
      <x:c r="H12" s="52" t="n">
        <x:f>SUM(H10:H11)</x:f>
        <x:v>117600</x:v>
      </x:c>
      <x:c r="I12" s="52" t="n">
        <x:f>SUM(I10:I11)</x:f>
        <x:v>144060</x:v>
      </x:c>
      <x:c r="J12" s="52" t="n">
        <x:f>SUM(J10:J11)</x:f>
        <x:v>144060</x:v>
      </x:c>
      <x:c r="K12" s="52" t="n">
        <x:f>SUM(K10:K11)</x:f>
        <x:v>144060</x:v>
      </x:c>
      <x:c r="L12" s="52" t="n">
        <x:f>SUM(L10:L11)</x:f>
        <x:v>144060</x:v>
      </x:c>
      <x:c r="M12" s="52" t="n">
        <x:f>SUM(M10:M11)</x:f>
        <x:v>144060</x:v>
      </x:c>
      <x:c r="N12" s="52" t="n">
        <x:f>SUM(N10:N11)</x:f>
        <x:v>144060</x:v>
      </x:c>
      <x:c r="O12" s="52" t="n">
        <x:f>SUM(O10:O11)</x:f>
        <x:v>225814.05</x:v>
      </x:c>
      <x:c r="P12" s="52" t="n">
        <x:f>SUM(P10:P11)</x:f>
        <x:v>225814.05</x:v>
      </x:c>
      <x:c r="Q12" s="52" t="n">
        <x:f>SUM(Q10:Q11)</x:f>
        <x:v>225814.05</x:v>
      </x:c>
      <x:c r="R12" s="52" t="n">
        <x:f>SUM(R10:R11)</x:f>
        <x:v>225814.05</x:v>
      </x:c>
      <x:c r="S12" s="52" t="n">
        <x:f>SUM(S10:S11)</x:f>
        <x:v>225814.05</x:v>
      </x:c>
      <x:c r="T12" s="52" t="n">
        <x:f>SUM(T10:T11)</x:f>
        <x:v>225814.05</x:v>
      </x:c>
      <x:c r="U12" s="52" t="n">
        <x:f>SUM(U10:U11)</x:f>
        <x:v>225814.05</x:v>
      </x:c>
      <x:c r="V12" s="52" t="n">
        <x:f>SUM(V10:V11)</x:f>
        <x:v>225814.05</x:v>
      </x:c>
      <x:c r="W12" s="52" t="n">
        <x:f>SUM(W10:W11)</x:f>
        <x:v>225814.05</x:v>
      </x:c>
      <x:c r="X12" s="52" t="n">
        <x:f>SUM(X10:X11)</x:f>
        <x:v>225814.05</x:v>
      </x:c>
      <x:c r="Y12" s="52" t="n">
        <x:f>SUM(Y10:Y11)</x:f>
        <x:v>225814.05</x:v>
      </x:c>
      <x:c r="Z12" s="52" t="n">
        <x:f>SUM(Z10:Z11)</x:f>
        <x:v>225814.05</x:v>
      </x:c>
      <x:c r="AA12" s="52" t="n">
        <x:f>SUM(AA10:AA11)</x:f>
        <x:v>331193.94</x:v>
      </x:c>
      <x:c r="AB12" s="52" t="n">
        <x:f>SUM(AB10:AB11)</x:f>
        <x:v>331193.94</x:v>
      </x:c>
      <x:c r="AC12" s="52" t="n">
        <x:f>SUM(AC10:AC11)</x:f>
        <x:v>331193.94</x:v>
      </x:c>
      <x:c r="AD12" s="52" t="n">
        <x:f>SUM(AD10:AD11)</x:f>
        <x:v>331193.94</x:v>
      </x:c>
      <x:c r="AE12" s="52" t="n">
        <x:f>SUM(AE10:AE11)</x:f>
        <x:v>331193.94</x:v>
      </x:c>
      <x:c r="AF12" s="52" t="n">
        <x:f>SUM(AF10:AF11)</x:f>
        <x:v>331193.94</x:v>
      </x:c>
      <x:c r="AG12" s="52" t="n">
        <x:f>SUM(AG10:AG11)</x:f>
        <x:v>331193.94</x:v>
      </x:c>
      <x:c r="AH12" s="52" t="n">
        <x:f>SUM(AH10:AH11)</x:f>
        <x:v>331193.94</x:v>
      </x:c>
      <x:c r="AI12" s="52" t="n">
        <x:f>SUM(AI10:AI11)</x:f>
        <x:v>331193.94</x:v>
      </x:c>
      <x:c r="AJ12" s="52" t="n">
        <x:f>SUM(AJ10:AJ11)</x:f>
        <x:v>331193.94</x:v>
      </x:c>
      <x:c r="AK12" s="52" t="n">
        <x:f>SUM(AK10:AK11)</x:f>
        <x:v>331193.94</x:v>
      </x:c>
      <x:c r="AL12" s="52" t="n">
        <x:f>SUM(AL10:AL11)</x:f>
        <x:v>331193.94</x:v>
      </x:c>
    </x:row>
    <x:row r="13">
      <x:c r="A13" s="43" t="str">
        <x:v>Direct Project Costs</x:v>
      </x:c>
      <x:c r="B13" s="44" t="n">
        <x:v>0</x:v>
      </x:c>
      <x:c r="C13" s="44" t="n">
        <x:f>-(C7*'Assumptions'!$H$16+C8*'Assumptions'!$H$17+C9*'Assumptions'!$H$18)</x:f>
        <x:v>-4500</x:v>
      </x:c>
      <x:c r="D13" s="44" t="n">
        <x:f>-(D7*'Assumptions'!$H$16+D8*'Assumptions'!$H$17+D9*'Assumptions'!$H$18)</x:f>
        <x:v>-9000</x:v>
      </x:c>
      <x:c r="E13" s="44" t="n">
        <x:f>-(E7*'Assumptions'!$H$16+E8*'Assumptions'!$H$17+E9*'Assumptions'!$H$18)</x:f>
        <x:v>-13000</x:v>
      </x:c>
      <x:c r="F13" s="44" t="n">
        <x:f>-(F7*'Assumptions'!$H$16+F8*'Assumptions'!$H$17+F9*'Assumptions'!$H$18)</x:f>
        <x:v>-18000</x:v>
      </x:c>
      <x:c r="G13" s="44" t="n">
        <x:f>-(G7*'Assumptions'!$H$16+G8*'Assumptions'!$H$17+G9*'Assumptions'!$H$18)</x:f>
        <x:v>-24000</x:v>
      </x:c>
      <x:c r="H13" s="44" t="n">
        <x:f>-(H7*'Assumptions'!$H$16+H8*'Assumptions'!$H$17+H9*'Assumptions'!$H$18)</x:f>
        <x:v>-24000</x:v>
      </x:c>
      <x:c r="I13" s="44" t="n">
        <x:f>-(I7*'Assumptions'!$H$16+I8*'Assumptions'!$H$17+I9*'Assumptions'!$H$18)</x:f>
        <x:v>-30600</x:v>
      </x:c>
      <x:c r="J13" s="44" t="n">
        <x:f>-(J7*'Assumptions'!$H$16+J8*'Assumptions'!$H$17+J9*'Assumptions'!$H$18)</x:f>
        <x:v>-30600</x:v>
      </x:c>
      <x:c r="K13" s="44" t="n">
        <x:f>-(K7*'Assumptions'!$H$16+K8*'Assumptions'!$H$17+K9*'Assumptions'!$H$18)</x:f>
        <x:v>-30600</x:v>
      </x:c>
      <x:c r="L13" s="44" t="n">
        <x:f>-(L7*'Assumptions'!$H$16+L8*'Assumptions'!$H$17+L9*'Assumptions'!$H$18)</x:f>
        <x:v>-30600</x:v>
      </x:c>
      <x:c r="M13" s="44" t="n">
        <x:f>-(M7*'Assumptions'!$H$16+M8*'Assumptions'!$H$17+M9*'Assumptions'!$H$18)</x:f>
        <x:v>-30600</x:v>
      </x:c>
      <x:c r="N13" s="44" t="n">
        <x:f>-(N7*'Assumptions'!$H$16+N8*'Assumptions'!$H$17+N9*'Assumptions'!$H$18)</x:f>
        <x:v>-30600</x:v>
      </x:c>
      <x:c r="O13" s="44" t="n">
        <x:f>-(O7*'Assumptions'!$H$16+O8*'Assumptions'!$H$17+O9*'Assumptions'!$H$18)</x:f>
        <x:v>-47965.5</x:v>
      </x:c>
      <x:c r="P13" s="44" t="n">
        <x:f>-(P7*'Assumptions'!$H$16+P8*'Assumptions'!$H$17+P9*'Assumptions'!$H$18)</x:f>
        <x:v>-47965.5</x:v>
      </x:c>
      <x:c r="Q13" s="44" t="n">
        <x:f>-(Q7*'Assumptions'!$H$16+Q8*'Assumptions'!$H$17+Q9*'Assumptions'!$H$18)</x:f>
        <x:v>-47965.5</x:v>
      </x:c>
      <x:c r="R13" s="44" t="n">
        <x:f>-(R7*'Assumptions'!$H$16+R8*'Assumptions'!$H$17+R9*'Assumptions'!$H$18)</x:f>
        <x:v>-47965.5</x:v>
      </x:c>
      <x:c r="S13" s="44" t="n">
        <x:f>-(S7*'Assumptions'!$H$16+S8*'Assumptions'!$H$17+S9*'Assumptions'!$H$18)</x:f>
        <x:v>-47965.5</x:v>
      </x:c>
      <x:c r="T13" s="44" t="n">
        <x:f>-(T7*'Assumptions'!$H$16+T8*'Assumptions'!$H$17+T9*'Assumptions'!$H$18)</x:f>
        <x:v>-47965.5</x:v>
      </x:c>
      <x:c r="U13" s="44" t="n">
        <x:f>-(U7*'Assumptions'!$H$16+U8*'Assumptions'!$H$17+U9*'Assumptions'!$H$18)</x:f>
        <x:v>-47965.5</x:v>
      </x:c>
      <x:c r="V13" s="44" t="n">
        <x:f>-(V7*'Assumptions'!$H$16+V8*'Assumptions'!$H$17+V9*'Assumptions'!$H$18)</x:f>
        <x:v>-47965.5</x:v>
      </x:c>
      <x:c r="W13" s="44" t="n">
        <x:f>-(W7*'Assumptions'!$H$16+W8*'Assumptions'!$H$17+W9*'Assumptions'!$H$18)</x:f>
        <x:v>-47965.5</x:v>
      </x:c>
      <x:c r="X13" s="44" t="n">
        <x:f>-(X7*'Assumptions'!$H$16+X8*'Assumptions'!$H$17+X9*'Assumptions'!$H$18)</x:f>
        <x:v>-47965.5</x:v>
      </x:c>
      <x:c r="Y13" s="44" t="n">
        <x:f>-(Y7*'Assumptions'!$H$16+Y8*'Assumptions'!$H$17+Y9*'Assumptions'!$H$18)</x:f>
        <x:v>-47965.5</x:v>
      </x:c>
      <x:c r="Z13" s="44" t="n">
        <x:f>-(Z7*'Assumptions'!$H$16+Z8*'Assumptions'!$H$17+Z9*'Assumptions'!$H$18)</x:f>
        <x:v>-47965.5</x:v>
      </x:c>
      <x:c r="AA13" s="44" t="n">
        <x:f>-(AA7*'Assumptions'!$H$16+AA8*'Assumptions'!$H$17+AA9*'Assumptions'!$H$18)</x:f>
        <x:v>-70349.4</x:v>
      </x:c>
      <x:c r="AB13" s="44" t="n">
        <x:f>-(AB7*'Assumptions'!$H$16+AB8*'Assumptions'!$H$17+AB9*'Assumptions'!$H$18)</x:f>
        <x:v>-70349.4</x:v>
      </x:c>
      <x:c r="AC13" s="44" t="n">
        <x:f>-(AC7*'Assumptions'!$H$16+AC8*'Assumptions'!$H$17+AC9*'Assumptions'!$H$18)</x:f>
        <x:v>-70349.4</x:v>
      </x:c>
      <x:c r="AD13" s="44" t="n">
        <x:f>-(AD7*'Assumptions'!$H$16+AD8*'Assumptions'!$H$17+AD9*'Assumptions'!$H$18)</x:f>
        <x:v>-70349.4</x:v>
      </x:c>
      <x:c r="AE13" s="44" t="n">
        <x:f>-(AE7*'Assumptions'!$H$16+AE8*'Assumptions'!$H$17+AE9*'Assumptions'!$H$18)</x:f>
        <x:v>-70349.4</x:v>
      </x:c>
      <x:c r="AF13" s="44" t="n">
        <x:f>-(AF7*'Assumptions'!$H$16+AF8*'Assumptions'!$H$17+AF9*'Assumptions'!$H$18)</x:f>
        <x:v>-70349.4</x:v>
      </x:c>
      <x:c r="AG13" s="44" t="n">
        <x:f>-(AG7*'Assumptions'!$H$16+AG8*'Assumptions'!$H$17+AG9*'Assumptions'!$H$18)</x:f>
        <x:v>-70349.4</x:v>
      </x:c>
      <x:c r="AH13" s="44" t="n">
        <x:f>-(AH7*'Assumptions'!$H$16+AH8*'Assumptions'!$H$17+AH9*'Assumptions'!$H$18)</x:f>
        <x:v>-70349.4</x:v>
      </x:c>
      <x:c r="AI13" s="44" t="n">
        <x:f>-(AI7*'Assumptions'!$H$16+AI8*'Assumptions'!$H$17+AI9*'Assumptions'!$H$18)</x:f>
        <x:v>-70349.4</x:v>
      </x:c>
      <x:c r="AJ13" s="44" t="n">
        <x:f>-(AJ7*'Assumptions'!$H$16+AJ8*'Assumptions'!$H$17+AJ9*'Assumptions'!$H$18)</x:f>
        <x:v>-70349.4</x:v>
      </x:c>
      <x:c r="AK13" s="44" t="n">
        <x:f>-(AK7*'Assumptions'!$H$16+AK8*'Assumptions'!$H$17+AK9*'Assumptions'!$H$18)</x:f>
        <x:v>-70349.4</x:v>
      </x:c>
      <x:c r="AL13" s="44" t="n">
        <x:f>-(AL7*'Assumptions'!$H$16+AL8*'Assumptions'!$H$17+AL9*'Assumptions'!$H$18)</x:f>
        <x:v>-70349.4</x:v>
      </x:c>
    </x:row>
    <x:row r="14">
      <x:c r="A14" s="51" t="str">
        <x:v>Gross Contribution</x:v>
      </x:c>
      <x:c r="B14" s="52" t="n">
        <x:v>0</x:v>
      </x:c>
      <x:c r="C14" s="52" t="n">
        <x:f>SUM(C12:C13)</x:f>
        <x:v>24900</x:v>
      </x:c>
      <x:c r="D14" s="52" t="n">
        <x:f>SUM(D12:D13)</x:f>
        <x:v>49800</x:v>
      </x:c>
      <x:c r="E14" s="52" t="n">
        <x:f>SUM(E12:E13)</x:f>
        <x:v>65400</x:v>
      </x:c>
      <x:c r="F14" s="52" t="n">
        <x:f>SUM(F12:F13)</x:f>
        <x:v>80000</x:v>
      </x:c>
      <x:c r="G14" s="52" t="n">
        <x:f>SUM(G12:G13)</x:f>
        <x:v>93600</x:v>
      </x:c>
      <x:c r="H14" s="52" t="n">
        <x:f>SUM(H12:H13)</x:f>
        <x:v>93600</x:v>
      </x:c>
      <x:c r="I14" s="52" t="n">
        <x:f>SUM(I12:I13)</x:f>
        <x:v>113460</x:v>
      </x:c>
      <x:c r="J14" s="52" t="n">
        <x:f>SUM(J12:J13)</x:f>
        <x:v>113460</x:v>
      </x:c>
      <x:c r="K14" s="52" t="n">
        <x:f>SUM(K12:K13)</x:f>
        <x:v>113460</x:v>
      </x:c>
      <x:c r="L14" s="52" t="n">
        <x:f>SUM(L12:L13)</x:f>
        <x:v>113460</x:v>
      </x:c>
      <x:c r="M14" s="52" t="n">
        <x:f>SUM(M12:M13)</x:f>
        <x:v>113460</x:v>
      </x:c>
      <x:c r="N14" s="52" t="n">
        <x:f>SUM(N12:N13)</x:f>
        <x:v>113460</x:v>
      </x:c>
      <x:c r="O14" s="52" t="n">
        <x:f>SUM(O12:O13)</x:f>
        <x:v>177848.55</x:v>
      </x:c>
      <x:c r="P14" s="52" t="n">
        <x:f>SUM(P12:P13)</x:f>
        <x:v>177848.55</x:v>
      </x:c>
      <x:c r="Q14" s="52" t="n">
        <x:f>SUM(Q12:Q13)</x:f>
        <x:v>177848.55</x:v>
      </x:c>
      <x:c r="R14" s="52" t="n">
        <x:f>SUM(R12:R13)</x:f>
        <x:v>177848.55</x:v>
      </x:c>
      <x:c r="S14" s="52" t="n">
        <x:f>SUM(S12:S13)</x:f>
        <x:v>177848.55</x:v>
      </x:c>
      <x:c r="T14" s="52" t="n">
        <x:f>SUM(T12:T13)</x:f>
        <x:v>177848.55</x:v>
      </x:c>
      <x:c r="U14" s="52" t="n">
        <x:f>SUM(U12:U13)</x:f>
        <x:v>177848.55</x:v>
      </x:c>
      <x:c r="V14" s="52" t="n">
        <x:f>SUM(V12:V13)</x:f>
        <x:v>177848.55</x:v>
      </x:c>
      <x:c r="W14" s="52" t="n">
        <x:f>SUM(W12:W13)</x:f>
        <x:v>177848.55</x:v>
      </x:c>
      <x:c r="X14" s="52" t="n">
        <x:f>SUM(X12:X13)</x:f>
        <x:v>177848.55</x:v>
      </x:c>
      <x:c r="Y14" s="52" t="n">
        <x:f>SUM(Y12:Y13)</x:f>
        <x:v>177848.55</x:v>
      </x:c>
      <x:c r="Z14" s="52" t="n">
        <x:f>SUM(Z12:Z13)</x:f>
        <x:v>177848.55</x:v>
      </x:c>
      <x:c r="AA14" s="52" t="n">
        <x:f>SUM(AA12:AA13)</x:f>
        <x:v>260844.54</x:v>
      </x:c>
      <x:c r="AB14" s="52" t="n">
        <x:f>SUM(AB12:AB13)</x:f>
        <x:v>260844.54</x:v>
      </x:c>
      <x:c r="AC14" s="52" t="n">
        <x:f>SUM(AC12:AC13)</x:f>
        <x:v>260844.54</x:v>
      </x:c>
      <x:c r="AD14" s="52" t="n">
        <x:f>SUM(AD12:AD13)</x:f>
        <x:v>260844.54</x:v>
      </x:c>
      <x:c r="AE14" s="52" t="n">
        <x:f>SUM(AE12:AE13)</x:f>
        <x:v>260844.54</x:v>
      </x:c>
      <x:c r="AF14" s="52" t="n">
        <x:f>SUM(AF12:AF13)</x:f>
        <x:v>260844.54</x:v>
      </x:c>
      <x:c r="AG14" s="52" t="n">
        <x:f>SUM(AG12:AG13)</x:f>
        <x:v>260844.54</x:v>
      </x:c>
      <x:c r="AH14" s="52" t="n">
        <x:f>SUM(AH12:AH13)</x:f>
        <x:v>260844.54</x:v>
      </x:c>
      <x:c r="AI14" s="52" t="n">
        <x:f>SUM(AI12:AI13)</x:f>
        <x:v>260844.54</x:v>
      </x:c>
      <x:c r="AJ14" s="52" t="n">
        <x:f>SUM(AJ12:AJ13)</x:f>
        <x:v>260844.54</x:v>
      </x:c>
      <x:c r="AK14" s="52" t="n">
        <x:f>SUM(AK12:AK13)</x:f>
        <x:v>260844.54</x:v>
      </x:c>
      <x:c r="AL14" s="52" t="n">
        <x:f>SUM(AL12:AL13)</x:f>
        <x:v>260844.54</x:v>
      </x:c>
    </x:row>
  </x:sheetData>
  <x:mergeCells>
    <x:mergeCell ref="A1:AL1"/>
    <x:mergeCell ref="A2:AL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s>
  <x:sheetData>
    <x:row r="1" ht="30" customHeight="1">
      <x:c r="A1" s="31" t="str">
        <x:v>SVT Nexus — Monthly Operating Expense Model</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c r="AA1" s="31"/>
      <x:c r="AB1" s="31"/>
      <x:c r="AC1" s="31"/>
      <x:c r="AD1" s="31"/>
      <x:c r="AE1" s="31"/>
      <x:c r="AF1" s="31"/>
      <x:c r="AG1" s="31"/>
      <x:c r="AH1" s="31"/>
      <x:c r="AI1" s="31"/>
      <x:c r="AJ1" s="31"/>
      <x:c r="AK1" s="31"/>
      <x:c r="AL1" s="31"/>
    </x:row>
    <x:row r="2">
      <x:c r="A2" s="42" t="str">
        <x:v>Version 3 | Model date: 21 Aug 2026 | Proposed structure — management and securities counsel review required</x:v>
      </x:c>
      <x:c r="B2" s="42"/>
      <x:c r="C2" s="42"/>
      <x:c r="D2" s="42"/>
      <x:c r="E2" s="42"/>
      <x:c r="F2" s="42"/>
      <x:c r="G2" s="42"/>
      <x:c r="H2" s="42"/>
      <x:c r="I2" s="42"/>
      <x:c r="J2" s="42"/>
      <x:c r="K2" s="42"/>
      <x:c r="L2" s="42"/>
      <x:c r="M2" s="42"/>
      <x:c r="N2" s="42"/>
      <x:c r="O2" s="42"/>
      <x:c r="P2" s="42"/>
      <x:c r="Q2" s="42"/>
      <x:c r="R2" s="42"/>
      <x:c r="S2" s="42"/>
      <x:c r="T2" s="42"/>
      <x:c r="U2" s="42"/>
      <x:c r="V2" s="42"/>
      <x:c r="W2" s="42"/>
      <x:c r="X2" s="42"/>
      <x:c r="Y2" s="42"/>
      <x:c r="Z2" s="42"/>
      <x:c r="AA2" s="42"/>
      <x:c r="AB2" s="42"/>
      <x:c r="AC2" s="42"/>
      <x:c r="AD2" s="42"/>
      <x:c r="AE2" s="42"/>
      <x:c r="AF2" s="42"/>
      <x:c r="AG2" s="42"/>
      <x:c r="AH2" s="42"/>
      <x:c r="AI2" s="42"/>
      <x:c r="AJ2" s="42"/>
      <x:c r="AK2" s="42"/>
      <x:c r="AL2" s="42"/>
    </x:row>
    <x:row r="3">
      <x:c r="A3" s="43" t="str">
        <x:v>Expense category</x:v>
      </x:c>
      <x:c r="B3" s="50" t="n">
        <x:v>46357</x:v>
      </x:c>
      <x:c r="C3" s="50" t="n">
        <x:v>46388</x:v>
      </x:c>
      <x:c r="D3" s="50" t="n">
        <x:v>46419</x:v>
      </x:c>
      <x:c r="E3" s="50" t="n">
        <x:v>46447</x:v>
      </x:c>
      <x:c r="F3" s="50" t="n">
        <x:v>46478</x:v>
      </x:c>
      <x:c r="G3" s="50" t="n">
        <x:v>46508</x:v>
      </x:c>
      <x:c r="H3" s="50" t="n">
        <x:v>46539</x:v>
      </x:c>
      <x:c r="I3" s="50" t="n">
        <x:v>46569</x:v>
      </x:c>
      <x:c r="J3" s="50" t="n">
        <x:v>46600</x:v>
      </x:c>
      <x:c r="K3" s="50" t="n">
        <x:v>46631</x:v>
      </x:c>
      <x:c r="L3" s="50" t="n">
        <x:v>46661</x:v>
      </x:c>
      <x:c r="M3" s="50" t="n">
        <x:v>46692</x:v>
      </x:c>
      <x:c r="N3" s="50" t="n">
        <x:v>46722</x:v>
      </x:c>
      <x:c r="O3" s="50" t="n">
        <x:v>46753</x:v>
      </x:c>
      <x:c r="P3" s="50" t="n">
        <x:v>46784</x:v>
      </x:c>
      <x:c r="Q3" s="50" t="n">
        <x:v>46813</x:v>
      </x:c>
      <x:c r="R3" s="50" t="n">
        <x:v>46844</x:v>
      </x:c>
      <x:c r="S3" s="50" t="n">
        <x:v>46874</x:v>
      </x:c>
      <x:c r="T3" s="50" t="n">
        <x:v>46905</x:v>
      </x:c>
      <x:c r="U3" s="50" t="n">
        <x:v>46935</x:v>
      </x:c>
      <x:c r="V3" s="50" t="n">
        <x:v>46966</x:v>
      </x:c>
      <x:c r="W3" s="50" t="n">
        <x:v>46997</x:v>
      </x:c>
      <x:c r="X3" s="50" t="n">
        <x:v>47027</x:v>
      </x:c>
      <x:c r="Y3" s="50" t="n">
        <x:v>47058</x:v>
      </x:c>
      <x:c r="Z3" s="50" t="n">
        <x:v>47088</x:v>
      </x:c>
      <x:c r="AA3" s="50" t="n">
        <x:v>47119</x:v>
      </x:c>
      <x:c r="AB3" s="50" t="n">
        <x:v>47150</x:v>
      </x:c>
      <x:c r="AC3" s="50" t="n">
        <x:v>47178</x:v>
      </x:c>
      <x:c r="AD3" s="50" t="n">
        <x:v>47209</x:v>
      </x:c>
      <x:c r="AE3" s="50" t="n">
        <x:v>47239</x:v>
      </x:c>
      <x:c r="AF3" s="50" t="n">
        <x:v>47270</x:v>
      </x:c>
      <x:c r="AG3" s="50" t="n">
        <x:v>47300</x:v>
      </x:c>
      <x:c r="AH3" s="50" t="n">
        <x:v>47331</x:v>
      </x:c>
      <x:c r="AI3" s="50" t="n">
        <x:v>47362</x:v>
      </x:c>
      <x:c r="AJ3" s="50" t="n">
        <x:v>47392</x:v>
      </x:c>
      <x:c r="AK3" s="50" t="n">
        <x:v>47423</x:v>
      </x:c>
      <x:c r="AL3" s="50" t="n">
        <x:v>47453</x:v>
      </x:c>
    </x:row>
    <x:row r="4">
      <x:c r="A4" s="43" t="str">
        <x:v>CEO compensation</x:v>
      </x:c>
      <x:c r="B4" s="44" t="n">
        <x:v>0</x:v>
      </x:c>
      <x:c r="C4" s="44" t="n">
        <x:f>-ROUND('Assumptions'!$G$5/12*1,-2)</x:f>
        <x:v>-10000</x:v>
      </x:c>
      <x:c r="D4" s="44" t="n">
        <x:f>-ROUND('Assumptions'!$G$5/12*1,-2)</x:f>
        <x:v>-10000</x:v>
      </x:c>
      <x:c r="E4" s="44" t="n">
        <x:f>-ROUND('Assumptions'!$G$5/12*1,-2)</x:f>
        <x:v>-10000</x:v>
      </x:c>
      <x:c r="F4" s="44" t="n">
        <x:f>-ROUND('Assumptions'!$G$5/12*1,-2)</x:f>
        <x:v>-10000</x:v>
      </x:c>
      <x:c r="G4" s="44" t="n">
        <x:f>-ROUND('Assumptions'!$G$5/12*1,-2)</x:f>
        <x:v>-10000</x:v>
      </x:c>
      <x:c r="H4" s="44" t="n">
        <x:f>-ROUND('Assumptions'!$G$5/12*1,-2)</x:f>
        <x:v>-10000</x:v>
      </x:c>
      <x:c r="I4" s="44" t="n">
        <x:f>-ROUND('Assumptions'!$G$5/12*1,-2)</x:f>
        <x:v>-10000</x:v>
      </x:c>
      <x:c r="J4" s="44" t="n">
        <x:f>-ROUND('Assumptions'!$G$5/12*1,-2)</x:f>
        <x:v>-10000</x:v>
      </x:c>
      <x:c r="K4" s="44" t="n">
        <x:f>-ROUND('Assumptions'!$G$5/12*1,-2)</x:f>
        <x:v>-10000</x:v>
      </x:c>
      <x:c r="L4" s="44" t="n">
        <x:f>-ROUND('Assumptions'!$G$5/12*1,-2)</x:f>
        <x:v>-10000</x:v>
      </x:c>
      <x:c r="M4" s="44" t="n">
        <x:f>-ROUND('Assumptions'!$G$5/12*1,-2)</x:f>
        <x:v>-10000</x:v>
      </x:c>
      <x:c r="N4" s="44" t="n">
        <x:f>-'Assumptions'!$G$5*1-SUM(C4:M4)</x:f>
        <x:v>-10000</x:v>
      </x:c>
      <x:c r="O4" s="44" t="n">
        <x:f>-ROUND('Assumptions'!$G$5/12*(1+'Assumptions'!$B$13),-2)</x:f>
        <x:v>-11000</x:v>
      </x:c>
      <x:c r="P4" s="44" t="n">
        <x:f>-ROUND('Assumptions'!$G$5/12*(1+'Assumptions'!$B$13),-2)</x:f>
        <x:v>-11000</x:v>
      </x:c>
      <x:c r="Q4" s="44" t="n">
        <x:f>-ROUND('Assumptions'!$G$5/12*(1+'Assumptions'!$B$13),-2)</x:f>
        <x:v>-11000</x:v>
      </x:c>
      <x:c r="R4" s="44" t="n">
        <x:f>-ROUND('Assumptions'!$G$5/12*(1+'Assumptions'!$B$13),-2)</x:f>
        <x:v>-11000</x:v>
      </x:c>
      <x:c r="S4" s="44" t="n">
        <x:f>-ROUND('Assumptions'!$G$5/12*(1+'Assumptions'!$B$13),-2)</x:f>
        <x:v>-11000</x:v>
      </x:c>
      <x:c r="T4" s="44" t="n">
        <x:f>-ROUND('Assumptions'!$G$5/12*(1+'Assumptions'!$B$13),-2)</x:f>
        <x:v>-11000</x:v>
      </x:c>
      <x:c r="U4" s="44" t="n">
        <x:f>-ROUND('Assumptions'!$G$5/12*(1+'Assumptions'!$B$13),-2)</x:f>
        <x:v>-11000</x:v>
      </x:c>
      <x:c r="V4" s="44" t="n">
        <x:f>-ROUND('Assumptions'!$G$5/12*(1+'Assumptions'!$B$13),-2)</x:f>
        <x:v>-11000</x:v>
      </x:c>
      <x:c r="W4" s="44" t="n">
        <x:f>-ROUND('Assumptions'!$G$5/12*(1+'Assumptions'!$B$13),-2)</x:f>
        <x:v>-11000</x:v>
      </x:c>
      <x:c r="X4" s="44" t="n">
        <x:f>-ROUND('Assumptions'!$G$5/12*(1+'Assumptions'!$B$13),-2)</x:f>
        <x:v>-11000</x:v>
      </x:c>
      <x:c r="Y4" s="44" t="n">
        <x:f>-ROUND('Assumptions'!$G$5/12*(1+'Assumptions'!$B$13),-2)</x:f>
        <x:v>-11000</x:v>
      </x:c>
      <x:c r="Z4" s="44" t="n">
        <x:f>-'Assumptions'!$G$5*(1+'Assumptions'!$B$13)-SUM(O4:Y4)</x:f>
        <x:v>-11000</x:v>
      </x:c>
      <x:c r="AA4" s="44" t="n">
        <x:f>-ROUND('Assumptions'!$G$5/12*(1+'Assumptions'!$B$13)*(1+'Assumptions'!$B$14),-2)</x:f>
        <x:v>-12100</x:v>
      </x:c>
      <x:c r="AB4" s="44" t="n">
        <x:f>-ROUND('Assumptions'!$G$5/12*(1+'Assumptions'!$B$13)*(1+'Assumptions'!$B$14),-2)</x:f>
        <x:v>-12100</x:v>
      </x:c>
      <x:c r="AC4" s="44" t="n">
        <x:f>-ROUND('Assumptions'!$G$5/12*(1+'Assumptions'!$B$13)*(1+'Assumptions'!$B$14),-2)</x:f>
        <x:v>-12100</x:v>
      </x:c>
      <x:c r="AD4" s="44" t="n">
        <x:f>-ROUND('Assumptions'!$G$5/12*(1+'Assumptions'!$B$13)*(1+'Assumptions'!$B$14),-2)</x:f>
        <x:v>-12100</x:v>
      </x:c>
      <x:c r="AE4" s="44" t="n">
        <x:f>-ROUND('Assumptions'!$G$5/12*(1+'Assumptions'!$B$13)*(1+'Assumptions'!$B$14),-2)</x:f>
        <x:v>-12100</x:v>
      </x:c>
      <x:c r="AF4" s="44" t="n">
        <x:f>-ROUND('Assumptions'!$G$5/12*(1+'Assumptions'!$B$13)*(1+'Assumptions'!$B$14),-2)</x:f>
        <x:v>-12100</x:v>
      </x:c>
      <x:c r="AG4" s="44" t="n">
        <x:f>-ROUND('Assumptions'!$G$5/12*(1+'Assumptions'!$B$13)*(1+'Assumptions'!$B$14),-2)</x:f>
        <x:v>-12100</x:v>
      </x:c>
      <x:c r="AH4" s="44" t="n">
        <x:f>-ROUND('Assumptions'!$G$5/12*(1+'Assumptions'!$B$13)*(1+'Assumptions'!$B$14),-2)</x:f>
        <x:v>-12100</x:v>
      </x:c>
      <x:c r="AI4" s="44" t="n">
        <x:f>-ROUND('Assumptions'!$G$5/12*(1+'Assumptions'!$B$13)*(1+'Assumptions'!$B$14),-2)</x:f>
        <x:v>-12100</x:v>
      </x:c>
      <x:c r="AJ4" s="44" t="n">
        <x:f>-ROUND('Assumptions'!$G$5/12*(1+'Assumptions'!$B$13)*(1+'Assumptions'!$B$14),-2)</x:f>
        <x:v>-12100</x:v>
      </x:c>
      <x:c r="AK4" s="44" t="n">
        <x:f>-ROUND('Assumptions'!$G$5/12*(1+'Assumptions'!$B$13)*(1+'Assumptions'!$B$14),-2)</x:f>
        <x:v>-12100</x:v>
      </x:c>
      <x:c r="AL4" s="44" t="n">
        <x:f>-'Assumptions'!$G$5*(1+'Assumptions'!$B$13)*(1+'Assumptions'!$B$14)-SUM(AA4:AK4)</x:f>
        <x:v>-12100</x:v>
      </x:c>
    </x:row>
    <x:row r="5">
      <x:c r="A5" s="43" t="str">
        <x:v>Other personnel / contractors</x:v>
      </x:c>
      <x:c r="B5" s="44" t="n">
        <x:v>0</x:v>
      </x:c>
      <x:c r="C5" s="44" t="n">
        <x:f>-ROUND('Assumptions'!$G$6/12*1,-2)</x:f>
        <x:v>-50000</x:v>
      </x:c>
      <x:c r="D5" s="44" t="n">
        <x:f>-ROUND('Assumptions'!$G$6/12*1,-2)</x:f>
        <x:v>-50000</x:v>
      </x:c>
      <x:c r="E5" s="44" t="n">
        <x:f>-ROUND('Assumptions'!$G$6/12*1,-2)</x:f>
        <x:v>-50000</x:v>
      </x:c>
      <x:c r="F5" s="44" t="n">
        <x:f>-ROUND('Assumptions'!$G$6/12*1,-2)</x:f>
        <x:v>-50000</x:v>
      </x:c>
      <x:c r="G5" s="44" t="n">
        <x:f>-ROUND('Assumptions'!$G$6/12*1,-2)</x:f>
        <x:v>-50000</x:v>
      </x:c>
      <x:c r="H5" s="44" t="n">
        <x:f>-ROUND('Assumptions'!$G$6/12*1,-2)</x:f>
        <x:v>-50000</x:v>
      </x:c>
      <x:c r="I5" s="44" t="n">
        <x:f>-ROUND('Assumptions'!$G$6/12*1,-2)</x:f>
        <x:v>-50000</x:v>
      </x:c>
      <x:c r="J5" s="44" t="n">
        <x:f>-ROUND('Assumptions'!$G$6/12*1,-2)</x:f>
        <x:v>-50000</x:v>
      </x:c>
      <x:c r="K5" s="44" t="n">
        <x:f>-ROUND('Assumptions'!$G$6/12*1,-2)</x:f>
        <x:v>-50000</x:v>
      </x:c>
      <x:c r="L5" s="44" t="n">
        <x:f>-ROUND('Assumptions'!$G$6/12*1,-2)</x:f>
        <x:v>-50000</x:v>
      </x:c>
      <x:c r="M5" s="44" t="n">
        <x:f>-ROUND('Assumptions'!$G$6/12*1,-2)</x:f>
        <x:v>-50000</x:v>
      </x:c>
      <x:c r="N5" s="44" t="n">
        <x:f>-'Assumptions'!$G$6*1-SUM(C5:M5)</x:f>
        <x:v>-50000</x:v>
      </x:c>
      <x:c r="O5" s="44" t="n">
        <x:f>-ROUND('Assumptions'!$G$6/12*(1+'Assumptions'!$B$13),-2)</x:f>
        <x:v>-55000</x:v>
      </x:c>
      <x:c r="P5" s="44" t="n">
        <x:f>-ROUND('Assumptions'!$G$6/12*(1+'Assumptions'!$B$13),-2)</x:f>
        <x:v>-55000</x:v>
      </x:c>
      <x:c r="Q5" s="44" t="n">
        <x:f>-ROUND('Assumptions'!$G$6/12*(1+'Assumptions'!$B$13),-2)</x:f>
        <x:v>-55000</x:v>
      </x:c>
      <x:c r="R5" s="44" t="n">
        <x:f>-ROUND('Assumptions'!$G$6/12*(1+'Assumptions'!$B$13),-2)</x:f>
        <x:v>-55000</x:v>
      </x:c>
      <x:c r="S5" s="44" t="n">
        <x:f>-ROUND('Assumptions'!$G$6/12*(1+'Assumptions'!$B$13),-2)</x:f>
        <x:v>-55000</x:v>
      </x:c>
      <x:c r="T5" s="44" t="n">
        <x:f>-ROUND('Assumptions'!$G$6/12*(1+'Assumptions'!$B$13),-2)</x:f>
        <x:v>-55000</x:v>
      </x:c>
      <x:c r="U5" s="44" t="n">
        <x:f>-ROUND('Assumptions'!$G$6/12*(1+'Assumptions'!$B$13),-2)</x:f>
        <x:v>-55000</x:v>
      </x:c>
      <x:c r="V5" s="44" t="n">
        <x:f>-ROUND('Assumptions'!$G$6/12*(1+'Assumptions'!$B$13),-2)</x:f>
        <x:v>-55000</x:v>
      </x:c>
      <x:c r="W5" s="44" t="n">
        <x:f>-ROUND('Assumptions'!$G$6/12*(1+'Assumptions'!$B$13),-2)</x:f>
        <x:v>-55000</x:v>
      </x:c>
      <x:c r="X5" s="44" t="n">
        <x:f>-ROUND('Assumptions'!$G$6/12*(1+'Assumptions'!$B$13),-2)</x:f>
        <x:v>-55000</x:v>
      </x:c>
      <x:c r="Y5" s="44" t="n">
        <x:f>-ROUND('Assumptions'!$G$6/12*(1+'Assumptions'!$B$13),-2)</x:f>
        <x:v>-55000</x:v>
      </x:c>
      <x:c r="Z5" s="44" t="n">
        <x:f>-'Assumptions'!$G$6*(1+'Assumptions'!$B$13)-SUM(O5:Y5)</x:f>
        <x:v>-55000</x:v>
      </x:c>
      <x:c r="AA5" s="44" t="n">
        <x:f>-ROUND('Assumptions'!$G$6/12*(1+'Assumptions'!$B$13)*(1+'Assumptions'!$B$14),-2)</x:f>
        <x:v>-60500</x:v>
      </x:c>
      <x:c r="AB5" s="44" t="n">
        <x:f>-ROUND('Assumptions'!$G$6/12*(1+'Assumptions'!$B$13)*(1+'Assumptions'!$B$14),-2)</x:f>
        <x:v>-60500</x:v>
      </x:c>
      <x:c r="AC5" s="44" t="n">
        <x:f>-ROUND('Assumptions'!$G$6/12*(1+'Assumptions'!$B$13)*(1+'Assumptions'!$B$14),-2)</x:f>
        <x:v>-60500</x:v>
      </x:c>
      <x:c r="AD5" s="44" t="n">
        <x:f>-ROUND('Assumptions'!$G$6/12*(1+'Assumptions'!$B$13)*(1+'Assumptions'!$B$14),-2)</x:f>
        <x:v>-60500</x:v>
      </x:c>
      <x:c r="AE5" s="44" t="n">
        <x:f>-ROUND('Assumptions'!$G$6/12*(1+'Assumptions'!$B$13)*(1+'Assumptions'!$B$14),-2)</x:f>
        <x:v>-60500</x:v>
      </x:c>
      <x:c r="AF5" s="44" t="n">
        <x:f>-ROUND('Assumptions'!$G$6/12*(1+'Assumptions'!$B$13)*(1+'Assumptions'!$B$14),-2)</x:f>
        <x:v>-60500</x:v>
      </x:c>
      <x:c r="AG5" s="44" t="n">
        <x:f>-ROUND('Assumptions'!$G$6/12*(1+'Assumptions'!$B$13)*(1+'Assumptions'!$B$14),-2)</x:f>
        <x:v>-60500</x:v>
      </x:c>
      <x:c r="AH5" s="44" t="n">
        <x:f>-ROUND('Assumptions'!$G$6/12*(1+'Assumptions'!$B$13)*(1+'Assumptions'!$B$14),-2)</x:f>
        <x:v>-60500</x:v>
      </x:c>
      <x:c r="AI5" s="44" t="n">
        <x:f>-ROUND('Assumptions'!$G$6/12*(1+'Assumptions'!$B$13)*(1+'Assumptions'!$B$14),-2)</x:f>
        <x:v>-60500</x:v>
      </x:c>
      <x:c r="AJ5" s="44" t="n">
        <x:f>-ROUND('Assumptions'!$G$6/12*(1+'Assumptions'!$B$13)*(1+'Assumptions'!$B$14),-2)</x:f>
        <x:v>-60500</x:v>
      </x:c>
      <x:c r="AK5" s="44" t="n">
        <x:f>-ROUND('Assumptions'!$G$6/12*(1+'Assumptions'!$B$13)*(1+'Assumptions'!$B$14),-2)</x:f>
        <x:v>-60500</x:v>
      </x:c>
      <x:c r="AL5" s="44" t="n">
        <x:f>-'Assumptions'!$G$6*(1+'Assumptions'!$B$13)*(1+'Assumptions'!$B$14)-SUM(AA5:AK5)</x:f>
        <x:v>-60500.00000000012</x:v>
      </x:c>
    </x:row>
    <x:row r="6">
      <x:c r="A6" s="43" t="str">
        <x:v>Technology / AI / cloud</x:v>
      </x:c>
      <x:c r="B6" s="44" t="n">
        <x:v>-5000</x:v>
      </x:c>
      <x:c r="C6" s="44" t="n">
        <x:f>-ROUND('Assumptions'!$G$7/12*1,-2)</x:f>
        <x:v>-15000</x:v>
      </x:c>
      <x:c r="D6" s="44" t="n">
        <x:f>-ROUND('Assumptions'!$G$7/12*1,-2)</x:f>
        <x:v>-15000</x:v>
      </x:c>
      <x:c r="E6" s="44" t="n">
        <x:f>-ROUND('Assumptions'!$G$7/12*1,-2)</x:f>
        <x:v>-15000</x:v>
      </x:c>
      <x:c r="F6" s="44" t="n">
        <x:f>-ROUND('Assumptions'!$G$7/12*1,-2)</x:f>
        <x:v>-15000</x:v>
      </x:c>
      <x:c r="G6" s="44" t="n">
        <x:f>-ROUND('Assumptions'!$G$7/12*1,-2)</x:f>
        <x:v>-15000</x:v>
      </x:c>
      <x:c r="H6" s="44" t="n">
        <x:f>-ROUND('Assumptions'!$G$7/12*1,-2)</x:f>
        <x:v>-15000</x:v>
      </x:c>
      <x:c r="I6" s="44" t="n">
        <x:f>-ROUND('Assumptions'!$G$7/12*1,-2)</x:f>
        <x:v>-15000</x:v>
      </x:c>
      <x:c r="J6" s="44" t="n">
        <x:f>-ROUND('Assumptions'!$G$7/12*1,-2)</x:f>
        <x:v>-15000</x:v>
      </x:c>
      <x:c r="K6" s="44" t="n">
        <x:f>-ROUND('Assumptions'!$G$7/12*1,-2)</x:f>
        <x:v>-15000</x:v>
      </x:c>
      <x:c r="L6" s="44" t="n">
        <x:f>-ROUND('Assumptions'!$G$7/12*1,-2)</x:f>
        <x:v>-15000</x:v>
      </x:c>
      <x:c r="M6" s="44" t="n">
        <x:f>-ROUND('Assumptions'!$G$7/12*1,-2)</x:f>
        <x:v>-15000</x:v>
      </x:c>
      <x:c r="N6" s="44" t="n">
        <x:f>-'Assumptions'!$G$7*1-SUM(C6:M6)</x:f>
        <x:v>-15000</x:v>
      </x:c>
      <x:c r="O6" s="44" t="n">
        <x:f>-ROUND('Assumptions'!$G$7/12*(1+'Assumptions'!$B$13),-2)</x:f>
        <x:v>-16500</x:v>
      </x:c>
      <x:c r="P6" s="44" t="n">
        <x:f>-ROUND('Assumptions'!$G$7/12*(1+'Assumptions'!$B$13),-2)</x:f>
        <x:v>-16500</x:v>
      </x:c>
      <x:c r="Q6" s="44" t="n">
        <x:f>-ROUND('Assumptions'!$G$7/12*(1+'Assumptions'!$B$13),-2)</x:f>
        <x:v>-16500</x:v>
      </x:c>
      <x:c r="R6" s="44" t="n">
        <x:f>-ROUND('Assumptions'!$G$7/12*(1+'Assumptions'!$B$13),-2)</x:f>
        <x:v>-16500</x:v>
      </x:c>
      <x:c r="S6" s="44" t="n">
        <x:f>-ROUND('Assumptions'!$G$7/12*(1+'Assumptions'!$B$13),-2)</x:f>
        <x:v>-16500</x:v>
      </x:c>
      <x:c r="T6" s="44" t="n">
        <x:f>-ROUND('Assumptions'!$G$7/12*(1+'Assumptions'!$B$13),-2)</x:f>
        <x:v>-16500</x:v>
      </x:c>
      <x:c r="U6" s="44" t="n">
        <x:f>-ROUND('Assumptions'!$G$7/12*(1+'Assumptions'!$B$13),-2)</x:f>
        <x:v>-16500</x:v>
      </x:c>
      <x:c r="V6" s="44" t="n">
        <x:f>-ROUND('Assumptions'!$G$7/12*(1+'Assumptions'!$B$13),-2)</x:f>
        <x:v>-16500</x:v>
      </x:c>
      <x:c r="W6" s="44" t="n">
        <x:f>-ROUND('Assumptions'!$G$7/12*(1+'Assumptions'!$B$13),-2)</x:f>
        <x:v>-16500</x:v>
      </x:c>
      <x:c r="X6" s="44" t="n">
        <x:f>-ROUND('Assumptions'!$G$7/12*(1+'Assumptions'!$B$13),-2)</x:f>
        <x:v>-16500</x:v>
      </x:c>
      <x:c r="Y6" s="44" t="n">
        <x:f>-ROUND('Assumptions'!$G$7/12*(1+'Assumptions'!$B$13),-2)</x:f>
        <x:v>-16500</x:v>
      </x:c>
      <x:c r="Z6" s="44" t="n">
        <x:f>-'Assumptions'!$G$7*(1+'Assumptions'!$B$13)-SUM(O6:Y6)</x:f>
        <x:v>-16500.00000000003</x:v>
      </x:c>
      <x:c r="AA6" s="44" t="n">
        <x:f>-ROUND('Assumptions'!$G$7/12*(1+'Assumptions'!$B$13)*(1+'Assumptions'!$B$14),-2)</x:f>
        <x:v>-18200</x:v>
      </x:c>
      <x:c r="AB6" s="44" t="n">
        <x:f>-ROUND('Assumptions'!$G$7/12*(1+'Assumptions'!$B$13)*(1+'Assumptions'!$B$14),-2)</x:f>
        <x:v>-18200</x:v>
      </x:c>
      <x:c r="AC6" s="44" t="n">
        <x:f>-ROUND('Assumptions'!$G$7/12*(1+'Assumptions'!$B$13)*(1+'Assumptions'!$B$14),-2)</x:f>
        <x:v>-18200</x:v>
      </x:c>
      <x:c r="AD6" s="44" t="n">
        <x:f>-ROUND('Assumptions'!$G$7/12*(1+'Assumptions'!$B$13)*(1+'Assumptions'!$B$14),-2)</x:f>
        <x:v>-18200</x:v>
      </x:c>
      <x:c r="AE6" s="44" t="n">
        <x:f>-ROUND('Assumptions'!$G$7/12*(1+'Assumptions'!$B$13)*(1+'Assumptions'!$B$14),-2)</x:f>
        <x:v>-18200</x:v>
      </x:c>
      <x:c r="AF6" s="44" t="n">
        <x:f>-ROUND('Assumptions'!$G$7/12*(1+'Assumptions'!$B$13)*(1+'Assumptions'!$B$14),-2)</x:f>
        <x:v>-18200</x:v>
      </x:c>
      <x:c r="AG6" s="44" t="n">
        <x:f>-ROUND('Assumptions'!$G$7/12*(1+'Assumptions'!$B$13)*(1+'Assumptions'!$B$14),-2)</x:f>
        <x:v>-18200</x:v>
      </x:c>
      <x:c r="AH6" s="44" t="n">
        <x:f>-ROUND('Assumptions'!$G$7/12*(1+'Assumptions'!$B$13)*(1+'Assumptions'!$B$14),-2)</x:f>
        <x:v>-18200</x:v>
      </x:c>
      <x:c r="AI6" s="44" t="n">
        <x:f>-ROUND('Assumptions'!$G$7/12*(1+'Assumptions'!$B$13)*(1+'Assumptions'!$B$14),-2)</x:f>
        <x:v>-18200</x:v>
      </x:c>
      <x:c r="AJ6" s="44" t="n">
        <x:f>-ROUND('Assumptions'!$G$7/12*(1+'Assumptions'!$B$13)*(1+'Assumptions'!$B$14),-2)</x:f>
        <x:v>-18200</x:v>
      </x:c>
      <x:c r="AK6" s="44" t="n">
        <x:f>-ROUND('Assumptions'!$G$7/12*(1+'Assumptions'!$B$13)*(1+'Assumptions'!$B$14),-2)</x:f>
        <x:v>-18200</x:v>
      </x:c>
      <x:c r="AL6" s="44" t="n">
        <x:f>-'Assumptions'!$G$7*(1+'Assumptions'!$B$13)*(1+'Assumptions'!$B$14)-SUM(AA6:AK6)</x:f>
        <x:v>-17600.00000000006</x:v>
      </x:c>
    </x:row>
    <x:row r="7">
      <x:c r="A7" s="43" t="str">
        <x:v>Sales &amp; marketing</x:v>
      </x:c>
      <x:c r="B7" s="44" t="n">
        <x:v>-10000</x:v>
      </x:c>
      <x:c r="C7" s="44" t="n">
        <x:f>-ROUND('Assumptions'!$G$8/12*1,-2)</x:f>
        <x:v>-35000</x:v>
      </x:c>
      <x:c r="D7" s="44" t="n">
        <x:f>-ROUND('Assumptions'!$G$8/12*1,-2)</x:f>
        <x:v>-35000</x:v>
      </x:c>
      <x:c r="E7" s="44" t="n">
        <x:f>-ROUND('Assumptions'!$G$8/12*1,-2)</x:f>
        <x:v>-35000</x:v>
      </x:c>
      <x:c r="F7" s="44" t="n">
        <x:f>-ROUND('Assumptions'!$G$8/12*1,-2)</x:f>
        <x:v>-35000</x:v>
      </x:c>
      <x:c r="G7" s="44" t="n">
        <x:f>-ROUND('Assumptions'!$G$8/12*1,-2)</x:f>
        <x:v>-35000</x:v>
      </x:c>
      <x:c r="H7" s="44" t="n">
        <x:f>-ROUND('Assumptions'!$G$8/12*1,-2)</x:f>
        <x:v>-35000</x:v>
      </x:c>
      <x:c r="I7" s="44" t="n">
        <x:f>-ROUND('Assumptions'!$G$8/12*1,-2)</x:f>
        <x:v>-35000</x:v>
      </x:c>
      <x:c r="J7" s="44" t="n">
        <x:f>-ROUND('Assumptions'!$G$8/12*1,-2)</x:f>
        <x:v>-35000</x:v>
      </x:c>
      <x:c r="K7" s="44" t="n">
        <x:f>-ROUND('Assumptions'!$G$8/12*1,-2)</x:f>
        <x:v>-35000</x:v>
      </x:c>
      <x:c r="L7" s="44" t="n">
        <x:f>-ROUND('Assumptions'!$G$8/12*1,-2)</x:f>
        <x:v>-35000</x:v>
      </x:c>
      <x:c r="M7" s="44" t="n">
        <x:f>-ROUND('Assumptions'!$G$8/12*1,-2)</x:f>
        <x:v>-35000</x:v>
      </x:c>
      <x:c r="N7" s="44" t="n">
        <x:f>-'Assumptions'!$G$8*1-SUM(C7:M7)</x:f>
        <x:v>-35000</x:v>
      </x:c>
      <x:c r="O7" s="44" t="n">
        <x:f>-ROUND('Assumptions'!$G$8/12*(1+'Assumptions'!$B$13),-2)</x:f>
        <x:v>-38500</x:v>
      </x:c>
      <x:c r="P7" s="44" t="n">
        <x:f>-ROUND('Assumptions'!$G$8/12*(1+'Assumptions'!$B$13),-2)</x:f>
        <x:v>-38500</x:v>
      </x:c>
      <x:c r="Q7" s="44" t="n">
        <x:f>-ROUND('Assumptions'!$G$8/12*(1+'Assumptions'!$B$13),-2)</x:f>
        <x:v>-38500</x:v>
      </x:c>
      <x:c r="R7" s="44" t="n">
        <x:f>-ROUND('Assumptions'!$G$8/12*(1+'Assumptions'!$B$13),-2)</x:f>
        <x:v>-38500</x:v>
      </x:c>
      <x:c r="S7" s="44" t="n">
        <x:f>-ROUND('Assumptions'!$G$8/12*(1+'Assumptions'!$B$13),-2)</x:f>
        <x:v>-38500</x:v>
      </x:c>
      <x:c r="T7" s="44" t="n">
        <x:f>-ROUND('Assumptions'!$G$8/12*(1+'Assumptions'!$B$13),-2)</x:f>
        <x:v>-38500</x:v>
      </x:c>
      <x:c r="U7" s="44" t="n">
        <x:f>-ROUND('Assumptions'!$G$8/12*(1+'Assumptions'!$B$13),-2)</x:f>
        <x:v>-38500</x:v>
      </x:c>
      <x:c r="V7" s="44" t="n">
        <x:f>-ROUND('Assumptions'!$G$8/12*(1+'Assumptions'!$B$13),-2)</x:f>
        <x:v>-38500</x:v>
      </x:c>
      <x:c r="W7" s="44" t="n">
        <x:f>-ROUND('Assumptions'!$G$8/12*(1+'Assumptions'!$B$13),-2)</x:f>
        <x:v>-38500</x:v>
      </x:c>
      <x:c r="X7" s="44" t="n">
        <x:f>-ROUND('Assumptions'!$G$8/12*(1+'Assumptions'!$B$13),-2)</x:f>
        <x:v>-38500</x:v>
      </x:c>
      <x:c r="Y7" s="44" t="n">
        <x:f>-ROUND('Assumptions'!$G$8/12*(1+'Assumptions'!$B$13),-2)</x:f>
        <x:v>-38500</x:v>
      </x:c>
      <x:c r="Z7" s="44" t="n">
        <x:f>-'Assumptions'!$G$8*(1+'Assumptions'!$B$13)-SUM(O7:Y7)</x:f>
        <x:v>-38500.00000000006</x:v>
      </x:c>
      <x:c r="AA7" s="44" t="n">
        <x:f>-ROUND('Assumptions'!$G$8/12*(1+'Assumptions'!$B$13)*(1+'Assumptions'!$B$14),-2)</x:f>
        <x:v>-42400</x:v>
      </x:c>
      <x:c r="AB7" s="44" t="n">
        <x:f>-ROUND('Assumptions'!$G$8/12*(1+'Assumptions'!$B$13)*(1+'Assumptions'!$B$14),-2)</x:f>
        <x:v>-42400</x:v>
      </x:c>
      <x:c r="AC7" s="44" t="n">
        <x:f>-ROUND('Assumptions'!$G$8/12*(1+'Assumptions'!$B$13)*(1+'Assumptions'!$B$14),-2)</x:f>
        <x:v>-42400</x:v>
      </x:c>
      <x:c r="AD7" s="44" t="n">
        <x:f>-ROUND('Assumptions'!$G$8/12*(1+'Assumptions'!$B$13)*(1+'Assumptions'!$B$14),-2)</x:f>
        <x:v>-42400</x:v>
      </x:c>
      <x:c r="AE7" s="44" t="n">
        <x:f>-ROUND('Assumptions'!$G$8/12*(1+'Assumptions'!$B$13)*(1+'Assumptions'!$B$14),-2)</x:f>
        <x:v>-42400</x:v>
      </x:c>
      <x:c r="AF7" s="44" t="n">
        <x:f>-ROUND('Assumptions'!$G$8/12*(1+'Assumptions'!$B$13)*(1+'Assumptions'!$B$14),-2)</x:f>
        <x:v>-42400</x:v>
      </x:c>
      <x:c r="AG7" s="44" t="n">
        <x:f>-ROUND('Assumptions'!$G$8/12*(1+'Assumptions'!$B$13)*(1+'Assumptions'!$B$14),-2)</x:f>
        <x:v>-42400</x:v>
      </x:c>
      <x:c r="AH7" s="44" t="n">
        <x:f>-ROUND('Assumptions'!$G$8/12*(1+'Assumptions'!$B$13)*(1+'Assumptions'!$B$14),-2)</x:f>
        <x:v>-42400</x:v>
      </x:c>
      <x:c r="AI7" s="44" t="n">
        <x:f>-ROUND('Assumptions'!$G$8/12*(1+'Assumptions'!$B$13)*(1+'Assumptions'!$B$14),-2)</x:f>
        <x:v>-42400</x:v>
      </x:c>
      <x:c r="AJ7" s="44" t="n">
        <x:f>-ROUND('Assumptions'!$G$8/12*(1+'Assumptions'!$B$13)*(1+'Assumptions'!$B$14),-2)</x:f>
        <x:v>-42400</x:v>
      </x:c>
      <x:c r="AK7" s="44" t="n">
        <x:f>-ROUND('Assumptions'!$G$8/12*(1+'Assumptions'!$B$13)*(1+'Assumptions'!$B$14),-2)</x:f>
        <x:v>-42400</x:v>
      </x:c>
      <x:c r="AL7" s="44" t="n">
        <x:f>-'Assumptions'!$G$8*(1+'Assumptions'!$B$13)*(1+'Assumptions'!$B$14)-SUM(AA7:AK7)</x:f>
        <x:v>-41800.00000000012</x:v>
      </x:c>
    </x:row>
    <x:row r="8">
      <x:c r="A8" s="43" t="str">
        <x:v>Legal / accounting / audit / tax / compliance</x:v>
      </x:c>
      <x:c r="B8" s="44" t="n">
        <x:v>-15000</x:v>
      </x:c>
      <x:c r="C8" s="44" t="n">
        <x:f>-ROUND('Assumptions'!$G$9/12*1,-2)</x:f>
        <x:v>-6700</x:v>
      </x:c>
      <x:c r="D8" s="44" t="n">
        <x:f>-ROUND('Assumptions'!$G$9/12*1,-2)</x:f>
        <x:v>-6700</x:v>
      </x:c>
      <x:c r="E8" s="44" t="n">
        <x:f>-ROUND('Assumptions'!$G$9/12*1,-2)</x:f>
        <x:v>-6700</x:v>
      </x:c>
      <x:c r="F8" s="44" t="n">
        <x:f>-ROUND('Assumptions'!$G$9/12*1,-2)</x:f>
        <x:v>-6700</x:v>
      </x:c>
      <x:c r="G8" s="44" t="n">
        <x:f>-ROUND('Assumptions'!$G$9/12*1,-2)</x:f>
        <x:v>-6700</x:v>
      </x:c>
      <x:c r="H8" s="44" t="n">
        <x:f>-ROUND('Assumptions'!$G$9/12*1,-2)</x:f>
        <x:v>-6700</x:v>
      </x:c>
      <x:c r="I8" s="44" t="n">
        <x:f>-ROUND('Assumptions'!$G$9/12*1,-2)</x:f>
        <x:v>-6700</x:v>
      </x:c>
      <x:c r="J8" s="44" t="n">
        <x:f>-ROUND('Assumptions'!$G$9/12*1,-2)</x:f>
        <x:v>-6700</x:v>
      </x:c>
      <x:c r="K8" s="44" t="n">
        <x:f>-ROUND('Assumptions'!$G$9/12*1,-2)</x:f>
        <x:v>-6700</x:v>
      </x:c>
      <x:c r="L8" s="44" t="n">
        <x:f>-ROUND('Assumptions'!$G$9/12*1,-2)</x:f>
        <x:v>-6700</x:v>
      </x:c>
      <x:c r="M8" s="44" t="n">
        <x:f>-ROUND('Assumptions'!$G$9/12*1,-2)</x:f>
        <x:v>-6700</x:v>
      </x:c>
      <x:c r="N8" s="44" t="n">
        <x:f>-'Assumptions'!$G$9*1-SUM(C8:M8)</x:f>
        <x:v>-6300</x:v>
      </x:c>
      <x:c r="O8" s="44" t="n">
        <x:f>-ROUND('Assumptions'!$G$9/12*(1+'Assumptions'!$B$13),-2)</x:f>
        <x:v>-7300</x:v>
      </x:c>
      <x:c r="P8" s="44" t="n">
        <x:f>-ROUND('Assumptions'!$G$9/12*(1+'Assumptions'!$B$13),-2)</x:f>
        <x:v>-7300</x:v>
      </x:c>
      <x:c r="Q8" s="44" t="n">
        <x:f>-ROUND('Assumptions'!$G$9/12*(1+'Assumptions'!$B$13),-2)</x:f>
        <x:v>-7300</x:v>
      </x:c>
      <x:c r="R8" s="44" t="n">
        <x:f>-ROUND('Assumptions'!$G$9/12*(1+'Assumptions'!$B$13),-2)</x:f>
        <x:v>-7300</x:v>
      </x:c>
      <x:c r="S8" s="44" t="n">
        <x:f>-ROUND('Assumptions'!$G$9/12*(1+'Assumptions'!$B$13),-2)</x:f>
        <x:v>-7300</x:v>
      </x:c>
      <x:c r="T8" s="44" t="n">
        <x:f>-ROUND('Assumptions'!$G$9/12*(1+'Assumptions'!$B$13),-2)</x:f>
        <x:v>-7300</x:v>
      </x:c>
      <x:c r="U8" s="44" t="n">
        <x:f>-ROUND('Assumptions'!$G$9/12*(1+'Assumptions'!$B$13),-2)</x:f>
        <x:v>-7300</x:v>
      </x:c>
      <x:c r="V8" s="44" t="n">
        <x:f>-ROUND('Assumptions'!$G$9/12*(1+'Assumptions'!$B$13),-2)</x:f>
        <x:v>-7300</x:v>
      </x:c>
      <x:c r="W8" s="44" t="n">
        <x:f>-ROUND('Assumptions'!$G$9/12*(1+'Assumptions'!$B$13),-2)</x:f>
        <x:v>-7300</x:v>
      </x:c>
      <x:c r="X8" s="44" t="n">
        <x:f>-ROUND('Assumptions'!$G$9/12*(1+'Assumptions'!$B$13),-2)</x:f>
        <x:v>-7300</x:v>
      </x:c>
      <x:c r="Y8" s="44" t="n">
        <x:f>-ROUND('Assumptions'!$G$9/12*(1+'Assumptions'!$B$13),-2)</x:f>
        <x:v>-7300</x:v>
      </x:c>
      <x:c r="Z8" s="44" t="n">
        <x:f>-'Assumptions'!$G$9*(1+'Assumptions'!$B$13)-SUM(O8:Y8)</x:f>
        <x:v>-7700</x:v>
      </x:c>
      <x:c r="AA8" s="44" t="n">
        <x:f>-ROUND('Assumptions'!$G$9/12*(1+'Assumptions'!$B$13)*(1+'Assumptions'!$B$14),-2)</x:f>
        <x:v>-8100</x:v>
      </x:c>
      <x:c r="AB8" s="44" t="n">
        <x:f>-ROUND('Assumptions'!$G$9/12*(1+'Assumptions'!$B$13)*(1+'Assumptions'!$B$14),-2)</x:f>
        <x:v>-8100</x:v>
      </x:c>
      <x:c r="AC8" s="44" t="n">
        <x:f>-ROUND('Assumptions'!$G$9/12*(1+'Assumptions'!$B$13)*(1+'Assumptions'!$B$14),-2)</x:f>
        <x:v>-8100</x:v>
      </x:c>
      <x:c r="AD8" s="44" t="n">
        <x:f>-ROUND('Assumptions'!$G$9/12*(1+'Assumptions'!$B$13)*(1+'Assumptions'!$B$14),-2)</x:f>
        <x:v>-8100</x:v>
      </x:c>
      <x:c r="AE8" s="44" t="n">
        <x:f>-ROUND('Assumptions'!$G$9/12*(1+'Assumptions'!$B$13)*(1+'Assumptions'!$B$14),-2)</x:f>
        <x:v>-8100</x:v>
      </x:c>
      <x:c r="AF8" s="44" t="n">
        <x:f>-ROUND('Assumptions'!$G$9/12*(1+'Assumptions'!$B$13)*(1+'Assumptions'!$B$14),-2)</x:f>
        <x:v>-8100</x:v>
      </x:c>
      <x:c r="AG8" s="44" t="n">
        <x:f>-ROUND('Assumptions'!$G$9/12*(1+'Assumptions'!$B$13)*(1+'Assumptions'!$B$14),-2)</x:f>
        <x:v>-8100</x:v>
      </x:c>
      <x:c r="AH8" s="44" t="n">
        <x:f>-ROUND('Assumptions'!$G$9/12*(1+'Assumptions'!$B$13)*(1+'Assumptions'!$B$14),-2)</x:f>
        <x:v>-8100</x:v>
      </x:c>
      <x:c r="AI8" s="44" t="n">
        <x:f>-ROUND('Assumptions'!$G$9/12*(1+'Assumptions'!$B$13)*(1+'Assumptions'!$B$14),-2)</x:f>
        <x:v>-8100</x:v>
      </x:c>
      <x:c r="AJ8" s="44" t="n">
        <x:f>-ROUND('Assumptions'!$G$9/12*(1+'Assumptions'!$B$13)*(1+'Assumptions'!$B$14),-2)</x:f>
        <x:v>-8100</x:v>
      </x:c>
      <x:c r="AK8" s="44" t="n">
        <x:f>-ROUND('Assumptions'!$G$9/12*(1+'Assumptions'!$B$13)*(1+'Assumptions'!$B$14),-2)</x:f>
        <x:v>-8100</x:v>
      </x:c>
      <x:c r="AL8" s="44" t="n">
        <x:f>-'Assumptions'!$G$9*(1+'Assumptions'!$B$13)*(1+'Assumptions'!$B$14)-SUM(AA8:AK8)</x:f>
        <x:v>-7700.000000000015</x:v>
      </x:c>
    </x:row>
    <x:row r="9">
      <x:c r="A9" s="43" t="str">
        <x:v>Insurance</x:v>
      </x:c>
      <x:c r="B9" s="44" t="n">
        <x:v>-2500</x:v>
      </x:c>
      <x:c r="C9" s="44" t="n">
        <x:f>-ROUND('Assumptions'!$G$10/12*1,-2)</x:f>
        <x:v>-2500</x:v>
      </x:c>
      <x:c r="D9" s="44" t="n">
        <x:f>-ROUND('Assumptions'!$G$10/12*1,-2)</x:f>
        <x:v>-2500</x:v>
      </x:c>
      <x:c r="E9" s="44" t="n">
        <x:f>-ROUND('Assumptions'!$G$10/12*1,-2)</x:f>
        <x:v>-2500</x:v>
      </x:c>
      <x:c r="F9" s="44" t="n">
        <x:f>-ROUND('Assumptions'!$G$10/12*1,-2)</x:f>
        <x:v>-2500</x:v>
      </x:c>
      <x:c r="G9" s="44" t="n">
        <x:f>-ROUND('Assumptions'!$G$10/12*1,-2)</x:f>
        <x:v>-2500</x:v>
      </x:c>
      <x:c r="H9" s="44" t="n">
        <x:f>-ROUND('Assumptions'!$G$10/12*1,-2)</x:f>
        <x:v>-2500</x:v>
      </x:c>
      <x:c r="I9" s="44" t="n">
        <x:f>-ROUND('Assumptions'!$G$10/12*1,-2)</x:f>
        <x:v>-2500</x:v>
      </x:c>
      <x:c r="J9" s="44" t="n">
        <x:f>-ROUND('Assumptions'!$G$10/12*1,-2)</x:f>
        <x:v>-2500</x:v>
      </x:c>
      <x:c r="K9" s="44" t="n">
        <x:f>-ROUND('Assumptions'!$G$10/12*1,-2)</x:f>
        <x:v>-2500</x:v>
      </x:c>
      <x:c r="L9" s="44" t="n">
        <x:f>-ROUND('Assumptions'!$G$10/12*1,-2)</x:f>
        <x:v>-2500</x:v>
      </x:c>
      <x:c r="M9" s="44" t="n">
        <x:f>-ROUND('Assumptions'!$G$10/12*1,-2)</x:f>
        <x:v>-2500</x:v>
      </x:c>
      <x:c r="N9" s="44" t="n">
        <x:f>-'Assumptions'!$G$10*1-SUM(C9:M9)</x:f>
        <x:v>-2500</x:v>
      </x:c>
      <x:c r="O9" s="44" t="n">
        <x:f>-ROUND('Assumptions'!$G$10/12*(1+'Assumptions'!$B$13),-2)</x:f>
        <x:v>-2800</x:v>
      </x:c>
      <x:c r="P9" s="44" t="n">
        <x:f>-ROUND('Assumptions'!$G$10/12*(1+'Assumptions'!$B$13),-2)</x:f>
        <x:v>-2800</x:v>
      </x:c>
      <x:c r="Q9" s="44" t="n">
        <x:f>-ROUND('Assumptions'!$G$10/12*(1+'Assumptions'!$B$13),-2)</x:f>
        <x:v>-2800</x:v>
      </x:c>
      <x:c r="R9" s="44" t="n">
        <x:f>-ROUND('Assumptions'!$G$10/12*(1+'Assumptions'!$B$13),-2)</x:f>
        <x:v>-2800</x:v>
      </x:c>
      <x:c r="S9" s="44" t="n">
        <x:f>-ROUND('Assumptions'!$G$10/12*(1+'Assumptions'!$B$13),-2)</x:f>
        <x:v>-2800</x:v>
      </x:c>
      <x:c r="T9" s="44" t="n">
        <x:f>-ROUND('Assumptions'!$G$10/12*(1+'Assumptions'!$B$13),-2)</x:f>
        <x:v>-2800</x:v>
      </x:c>
      <x:c r="U9" s="44" t="n">
        <x:f>-ROUND('Assumptions'!$G$10/12*(1+'Assumptions'!$B$13),-2)</x:f>
        <x:v>-2800</x:v>
      </x:c>
      <x:c r="V9" s="44" t="n">
        <x:f>-ROUND('Assumptions'!$G$10/12*(1+'Assumptions'!$B$13),-2)</x:f>
        <x:v>-2800</x:v>
      </x:c>
      <x:c r="W9" s="44" t="n">
        <x:f>-ROUND('Assumptions'!$G$10/12*(1+'Assumptions'!$B$13),-2)</x:f>
        <x:v>-2800</x:v>
      </x:c>
      <x:c r="X9" s="44" t="n">
        <x:f>-ROUND('Assumptions'!$G$10/12*(1+'Assumptions'!$B$13),-2)</x:f>
        <x:v>-2800</x:v>
      </x:c>
      <x:c r="Y9" s="44" t="n">
        <x:f>-ROUND('Assumptions'!$G$10/12*(1+'Assumptions'!$B$13),-2)</x:f>
        <x:v>-2800</x:v>
      </x:c>
      <x:c r="Z9" s="44" t="n">
        <x:f>-'Assumptions'!$G$10*(1+'Assumptions'!$B$13)-SUM(O9:Y9)</x:f>
        <x:v>-2200</x:v>
      </x:c>
      <x:c r="AA9" s="44" t="n">
        <x:f>-ROUND('Assumptions'!$G$10/12*(1+'Assumptions'!$B$13)*(1+'Assumptions'!$B$14),-2)</x:f>
        <x:v>-3000</x:v>
      </x:c>
      <x:c r="AB9" s="44" t="n">
        <x:f>-ROUND('Assumptions'!$G$10/12*(1+'Assumptions'!$B$13)*(1+'Assumptions'!$B$14),-2)</x:f>
        <x:v>-3000</x:v>
      </x:c>
      <x:c r="AC9" s="44" t="n">
        <x:f>-ROUND('Assumptions'!$G$10/12*(1+'Assumptions'!$B$13)*(1+'Assumptions'!$B$14),-2)</x:f>
        <x:v>-3000</x:v>
      </x:c>
      <x:c r="AD9" s="44" t="n">
        <x:f>-ROUND('Assumptions'!$G$10/12*(1+'Assumptions'!$B$13)*(1+'Assumptions'!$B$14),-2)</x:f>
        <x:v>-3000</x:v>
      </x:c>
      <x:c r="AE9" s="44" t="n">
        <x:f>-ROUND('Assumptions'!$G$10/12*(1+'Assumptions'!$B$13)*(1+'Assumptions'!$B$14),-2)</x:f>
        <x:v>-3000</x:v>
      </x:c>
      <x:c r="AF9" s="44" t="n">
        <x:f>-ROUND('Assumptions'!$G$10/12*(1+'Assumptions'!$B$13)*(1+'Assumptions'!$B$14),-2)</x:f>
        <x:v>-3000</x:v>
      </x:c>
      <x:c r="AG9" s="44" t="n">
        <x:f>-ROUND('Assumptions'!$G$10/12*(1+'Assumptions'!$B$13)*(1+'Assumptions'!$B$14),-2)</x:f>
        <x:v>-3000</x:v>
      </x:c>
      <x:c r="AH9" s="44" t="n">
        <x:f>-ROUND('Assumptions'!$G$10/12*(1+'Assumptions'!$B$13)*(1+'Assumptions'!$B$14),-2)</x:f>
        <x:v>-3000</x:v>
      </x:c>
      <x:c r="AI9" s="44" t="n">
        <x:f>-ROUND('Assumptions'!$G$10/12*(1+'Assumptions'!$B$13)*(1+'Assumptions'!$B$14),-2)</x:f>
        <x:v>-3000</x:v>
      </x:c>
      <x:c r="AJ9" s="44" t="n">
        <x:f>-ROUND('Assumptions'!$G$10/12*(1+'Assumptions'!$B$13)*(1+'Assumptions'!$B$14),-2)</x:f>
        <x:v>-3000</x:v>
      </x:c>
      <x:c r="AK9" s="44" t="n">
        <x:f>-ROUND('Assumptions'!$G$10/12*(1+'Assumptions'!$B$13)*(1+'Assumptions'!$B$14),-2)</x:f>
        <x:v>-3000</x:v>
      </x:c>
      <x:c r="AL9" s="44" t="n">
        <x:f>-'Assumptions'!$G$10*(1+'Assumptions'!$B$13)*(1+'Assumptions'!$B$14)-SUM(AA9:AK9)</x:f>
        <x:v>-3300</x:v>
      </x:c>
    </x:row>
    <x:row r="10">
      <x:c r="A10" s="43" t="str">
        <x:v>Travel</x:v>
      </x:c>
      <x:c r="B10" s="44" t="n">
        <x:v>-2500</x:v>
      </x:c>
      <x:c r="C10" s="44" t="n">
        <x:f>-ROUND('Assumptions'!$G$11/12*1,-2)</x:f>
        <x:v>-3300</x:v>
      </x:c>
      <x:c r="D10" s="44" t="n">
        <x:f>-ROUND('Assumptions'!$G$11/12*1,-2)</x:f>
        <x:v>-3300</x:v>
      </x:c>
      <x:c r="E10" s="44" t="n">
        <x:f>-ROUND('Assumptions'!$G$11/12*1,-2)</x:f>
        <x:v>-3300</x:v>
      </x:c>
      <x:c r="F10" s="44" t="n">
        <x:f>-ROUND('Assumptions'!$G$11/12*1,-2)</x:f>
        <x:v>-3300</x:v>
      </x:c>
      <x:c r="G10" s="44" t="n">
        <x:f>-ROUND('Assumptions'!$G$11/12*1,-2)</x:f>
        <x:v>-3300</x:v>
      </x:c>
      <x:c r="H10" s="44" t="n">
        <x:f>-ROUND('Assumptions'!$G$11/12*1,-2)</x:f>
        <x:v>-3300</x:v>
      </x:c>
      <x:c r="I10" s="44" t="n">
        <x:f>-ROUND('Assumptions'!$G$11/12*1,-2)</x:f>
        <x:v>-3300</x:v>
      </x:c>
      <x:c r="J10" s="44" t="n">
        <x:f>-ROUND('Assumptions'!$G$11/12*1,-2)</x:f>
        <x:v>-3300</x:v>
      </x:c>
      <x:c r="K10" s="44" t="n">
        <x:f>-ROUND('Assumptions'!$G$11/12*1,-2)</x:f>
        <x:v>-3300</x:v>
      </x:c>
      <x:c r="L10" s="44" t="n">
        <x:f>-ROUND('Assumptions'!$G$11/12*1,-2)</x:f>
        <x:v>-3300</x:v>
      </x:c>
      <x:c r="M10" s="44" t="n">
        <x:f>-ROUND('Assumptions'!$G$11/12*1,-2)</x:f>
        <x:v>-3300</x:v>
      </x:c>
      <x:c r="N10" s="44" t="n">
        <x:f>-'Assumptions'!$G$11*1-SUM(C10:M10)</x:f>
        <x:v>-3700</x:v>
      </x:c>
      <x:c r="O10" s="44" t="n">
        <x:f>-ROUND('Assumptions'!$G$11/12*(1+'Assumptions'!$B$13),-2)</x:f>
        <x:v>-3700</x:v>
      </x:c>
      <x:c r="P10" s="44" t="n">
        <x:f>-ROUND('Assumptions'!$G$11/12*(1+'Assumptions'!$B$13),-2)</x:f>
        <x:v>-3700</x:v>
      </x:c>
      <x:c r="Q10" s="44" t="n">
        <x:f>-ROUND('Assumptions'!$G$11/12*(1+'Assumptions'!$B$13),-2)</x:f>
        <x:v>-3700</x:v>
      </x:c>
      <x:c r="R10" s="44" t="n">
        <x:f>-ROUND('Assumptions'!$G$11/12*(1+'Assumptions'!$B$13),-2)</x:f>
        <x:v>-3700</x:v>
      </x:c>
      <x:c r="S10" s="44" t="n">
        <x:f>-ROUND('Assumptions'!$G$11/12*(1+'Assumptions'!$B$13),-2)</x:f>
        <x:v>-3700</x:v>
      </x:c>
      <x:c r="T10" s="44" t="n">
        <x:f>-ROUND('Assumptions'!$G$11/12*(1+'Assumptions'!$B$13),-2)</x:f>
        <x:v>-3700</x:v>
      </x:c>
      <x:c r="U10" s="44" t="n">
        <x:f>-ROUND('Assumptions'!$G$11/12*(1+'Assumptions'!$B$13),-2)</x:f>
        <x:v>-3700</x:v>
      </x:c>
      <x:c r="V10" s="44" t="n">
        <x:f>-ROUND('Assumptions'!$G$11/12*(1+'Assumptions'!$B$13),-2)</x:f>
        <x:v>-3700</x:v>
      </x:c>
      <x:c r="W10" s="44" t="n">
        <x:f>-ROUND('Assumptions'!$G$11/12*(1+'Assumptions'!$B$13),-2)</x:f>
        <x:v>-3700</x:v>
      </x:c>
      <x:c r="X10" s="44" t="n">
        <x:f>-ROUND('Assumptions'!$G$11/12*(1+'Assumptions'!$B$13),-2)</x:f>
        <x:v>-3700</x:v>
      </x:c>
      <x:c r="Y10" s="44" t="n">
        <x:f>-ROUND('Assumptions'!$G$11/12*(1+'Assumptions'!$B$13),-2)</x:f>
        <x:v>-3700</x:v>
      </x:c>
      <x:c r="Z10" s="44" t="n">
        <x:f>-'Assumptions'!$G$11*(1+'Assumptions'!$B$13)-SUM(O10:Y10)</x:f>
        <x:v>-3300</x:v>
      </x:c>
      <x:c r="AA10" s="44" t="n">
        <x:f>-ROUND('Assumptions'!$G$11/12*(1+'Assumptions'!$B$13)*(1+'Assumptions'!$B$14),-2)</x:f>
        <x:v>-4000</x:v>
      </x:c>
      <x:c r="AB10" s="44" t="n">
        <x:f>-ROUND('Assumptions'!$G$11/12*(1+'Assumptions'!$B$13)*(1+'Assumptions'!$B$14),-2)</x:f>
        <x:v>-4000</x:v>
      </x:c>
      <x:c r="AC10" s="44" t="n">
        <x:f>-ROUND('Assumptions'!$G$11/12*(1+'Assumptions'!$B$13)*(1+'Assumptions'!$B$14),-2)</x:f>
        <x:v>-4000</x:v>
      </x:c>
      <x:c r="AD10" s="44" t="n">
        <x:f>-ROUND('Assumptions'!$G$11/12*(1+'Assumptions'!$B$13)*(1+'Assumptions'!$B$14),-2)</x:f>
        <x:v>-4000</x:v>
      </x:c>
      <x:c r="AE10" s="44" t="n">
        <x:f>-ROUND('Assumptions'!$G$11/12*(1+'Assumptions'!$B$13)*(1+'Assumptions'!$B$14),-2)</x:f>
        <x:v>-4000</x:v>
      </x:c>
      <x:c r="AF10" s="44" t="n">
        <x:f>-ROUND('Assumptions'!$G$11/12*(1+'Assumptions'!$B$13)*(1+'Assumptions'!$B$14),-2)</x:f>
        <x:v>-4000</x:v>
      </x:c>
      <x:c r="AG10" s="44" t="n">
        <x:f>-ROUND('Assumptions'!$G$11/12*(1+'Assumptions'!$B$13)*(1+'Assumptions'!$B$14),-2)</x:f>
        <x:v>-4000</x:v>
      </x:c>
      <x:c r="AH10" s="44" t="n">
        <x:f>-ROUND('Assumptions'!$G$11/12*(1+'Assumptions'!$B$13)*(1+'Assumptions'!$B$14),-2)</x:f>
        <x:v>-4000</x:v>
      </x:c>
      <x:c r="AI10" s="44" t="n">
        <x:f>-ROUND('Assumptions'!$G$11/12*(1+'Assumptions'!$B$13)*(1+'Assumptions'!$B$14),-2)</x:f>
        <x:v>-4000</x:v>
      </x:c>
      <x:c r="AJ10" s="44" t="n">
        <x:f>-ROUND('Assumptions'!$G$11/12*(1+'Assumptions'!$B$13)*(1+'Assumptions'!$B$14),-2)</x:f>
        <x:v>-4000</x:v>
      </x:c>
      <x:c r="AK10" s="44" t="n">
        <x:f>-ROUND('Assumptions'!$G$11/12*(1+'Assumptions'!$B$13)*(1+'Assumptions'!$B$14),-2)</x:f>
        <x:v>-4000</x:v>
      </x:c>
      <x:c r="AL10" s="44" t="n">
        <x:f>-'Assumptions'!$G$11*(1+'Assumptions'!$B$13)*(1+'Assumptions'!$B$14)-SUM(AA10:AK10)</x:f>
        <x:v>-4400.000000000007</x:v>
      </x:c>
    </x:row>
    <x:row r="11">
      <x:c r="A11" s="43" t="str">
        <x:v>Office / administrative</x:v>
      </x:c>
      <x:c r="B11" s="44" t="n">
        <x:v>-2500</x:v>
      </x:c>
      <x:c r="C11" s="44" t="n">
        <x:f>-ROUND('Assumptions'!$G$12/12*1,-2)</x:f>
        <x:v>-2500</x:v>
      </x:c>
      <x:c r="D11" s="44" t="n">
        <x:f>-ROUND('Assumptions'!$G$12/12*1,-2)</x:f>
        <x:v>-2500</x:v>
      </x:c>
      <x:c r="E11" s="44" t="n">
        <x:f>-ROUND('Assumptions'!$G$12/12*1,-2)</x:f>
        <x:v>-2500</x:v>
      </x:c>
      <x:c r="F11" s="44" t="n">
        <x:f>-ROUND('Assumptions'!$G$12/12*1,-2)</x:f>
        <x:v>-2500</x:v>
      </x:c>
      <x:c r="G11" s="44" t="n">
        <x:f>-ROUND('Assumptions'!$G$12/12*1,-2)</x:f>
        <x:v>-2500</x:v>
      </x:c>
      <x:c r="H11" s="44" t="n">
        <x:f>-ROUND('Assumptions'!$G$12/12*1,-2)</x:f>
        <x:v>-2500</x:v>
      </x:c>
      <x:c r="I11" s="44" t="n">
        <x:f>-ROUND('Assumptions'!$G$12/12*1,-2)</x:f>
        <x:v>-2500</x:v>
      </x:c>
      <x:c r="J11" s="44" t="n">
        <x:f>-ROUND('Assumptions'!$G$12/12*1,-2)</x:f>
        <x:v>-2500</x:v>
      </x:c>
      <x:c r="K11" s="44" t="n">
        <x:f>-ROUND('Assumptions'!$G$12/12*1,-2)</x:f>
        <x:v>-2500</x:v>
      </x:c>
      <x:c r="L11" s="44" t="n">
        <x:f>-ROUND('Assumptions'!$G$12/12*1,-2)</x:f>
        <x:v>-2500</x:v>
      </x:c>
      <x:c r="M11" s="44" t="n">
        <x:f>-ROUND('Assumptions'!$G$12/12*1,-2)</x:f>
        <x:v>-2500</x:v>
      </x:c>
      <x:c r="N11" s="44" t="n">
        <x:f>-'Assumptions'!$G$12*1-SUM(C11:M11)</x:f>
        <x:v>-2500</x:v>
      </x:c>
      <x:c r="O11" s="44" t="n">
        <x:f>-ROUND('Assumptions'!$G$12/12*(1+'Assumptions'!$B$13),-2)</x:f>
        <x:v>-2800</x:v>
      </x:c>
      <x:c r="P11" s="44" t="n">
        <x:f>-ROUND('Assumptions'!$G$12/12*(1+'Assumptions'!$B$13),-2)</x:f>
        <x:v>-2800</x:v>
      </x:c>
      <x:c r="Q11" s="44" t="n">
        <x:f>-ROUND('Assumptions'!$G$12/12*(1+'Assumptions'!$B$13),-2)</x:f>
        <x:v>-2800</x:v>
      </x:c>
      <x:c r="R11" s="44" t="n">
        <x:f>-ROUND('Assumptions'!$G$12/12*(1+'Assumptions'!$B$13),-2)</x:f>
        <x:v>-2800</x:v>
      </x:c>
      <x:c r="S11" s="44" t="n">
        <x:f>-ROUND('Assumptions'!$G$12/12*(1+'Assumptions'!$B$13),-2)</x:f>
        <x:v>-2800</x:v>
      </x:c>
      <x:c r="T11" s="44" t="n">
        <x:f>-ROUND('Assumptions'!$G$12/12*(1+'Assumptions'!$B$13),-2)</x:f>
        <x:v>-2800</x:v>
      </x:c>
      <x:c r="U11" s="44" t="n">
        <x:f>-ROUND('Assumptions'!$G$12/12*(1+'Assumptions'!$B$13),-2)</x:f>
        <x:v>-2800</x:v>
      </x:c>
      <x:c r="V11" s="44" t="n">
        <x:f>-ROUND('Assumptions'!$G$12/12*(1+'Assumptions'!$B$13),-2)</x:f>
        <x:v>-2800</x:v>
      </x:c>
      <x:c r="W11" s="44" t="n">
        <x:f>-ROUND('Assumptions'!$G$12/12*(1+'Assumptions'!$B$13),-2)</x:f>
        <x:v>-2800</x:v>
      </x:c>
      <x:c r="X11" s="44" t="n">
        <x:f>-ROUND('Assumptions'!$G$12/12*(1+'Assumptions'!$B$13),-2)</x:f>
        <x:v>-2800</x:v>
      </x:c>
      <x:c r="Y11" s="44" t="n">
        <x:f>-ROUND('Assumptions'!$G$12/12*(1+'Assumptions'!$B$13),-2)</x:f>
        <x:v>-2800</x:v>
      </x:c>
      <x:c r="Z11" s="44" t="n">
        <x:f>-'Assumptions'!$G$12*(1+'Assumptions'!$B$13)-SUM(O11:Y11)</x:f>
        <x:v>-2200</x:v>
      </x:c>
      <x:c r="AA11" s="44" t="n">
        <x:f>-ROUND('Assumptions'!$G$12/12*(1+'Assumptions'!$B$13)*(1+'Assumptions'!$B$14),-2)</x:f>
        <x:v>-3000</x:v>
      </x:c>
      <x:c r="AB11" s="44" t="n">
        <x:f>-ROUND('Assumptions'!$G$12/12*(1+'Assumptions'!$B$13)*(1+'Assumptions'!$B$14),-2)</x:f>
        <x:v>-3000</x:v>
      </x:c>
      <x:c r="AC11" s="44" t="n">
        <x:f>-ROUND('Assumptions'!$G$12/12*(1+'Assumptions'!$B$13)*(1+'Assumptions'!$B$14),-2)</x:f>
        <x:v>-3000</x:v>
      </x:c>
      <x:c r="AD11" s="44" t="n">
        <x:f>-ROUND('Assumptions'!$G$12/12*(1+'Assumptions'!$B$13)*(1+'Assumptions'!$B$14),-2)</x:f>
        <x:v>-3000</x:v>
      </x:c>
      <x:c r="AE11" s="44" t="n">
        <x:f>-ROUND('Assumptions'!$G$12/12*(1+'Assumptions'!$B$13)*(1+'Assumptions'!$B$14),-2)</x:f>
        <x:v>-3000</x:v>
      </x:c>
      <x:c r="AF11" s="44" t="n">
        <x:f>-ROUND('Assumptions'!$G$12/12*(1+'Assumptions'!$B$13)*(1+'Assumptions'!$B$14),-2)</x:f>
        <x:v>-3000</x:v>
      </x:c>
      <x:c r="AG11" s="44" t="n">
        <x:f>-ROUND('Assumptions'!$G$12/12*(1+'Assumptions'!$B$13)*(1+'Assumptions'!$B$14),-2)</x:f>
        <x:v>-3000</x:v>
      </x:c>
      <x:c r="AH11" s="44" t="n">
        <x:f>-ROUND('Assumptions'!$G$12/12*(1+'Assumptions'!$B$13)*(1+'Assumptions'!$B$14),-2)</x:f>
        <x:v>-3000</x:v>
      </x:c>
      <x:c r="AI11" s="44" t="n">
        <x:f>-ROUND('Assumptions'!$G$12/12*(1+'Assumptions'!$B$13)*(1+'Assumptions'!$B$14),-2)</x:f>
        <x:v>-3000</x:v>
      </x:c>
      <x:c r="AJ11" s="44" t="n">
        <x:f>-ROUND('Assumptions'!$G$12/12*(1+'Assumptions'!$B$13)*(1+'Assumptions'!$B$14),-2)</x:f>
        <x:v>-3000</x:v>
      </x:c>
      <x:c r="AK11" s="44" t="n">
        <x:f>-ROUND('Assumptions'!$G$12/12*(1+'Assumptions'!$B$13)*(1+'Assumptions'!$B$14),-2)</x:f>
        <x:v>-3000</x:v>
      </x:c>
      <x:c r="AL11" s="44" t="n">
        <x:f>-'Assumptions'!$G$12*(1+'Assumptions'!$B$13)*(1+'Assumptions'!$B$14)-SUM(AA11:AK11)</x:f>
        <x:v>-3300</x:v>
      </x:c>
    </x:row>
    <x:row r="12">
      <x:c r="A12" s="43" t="str">
        <x:v>Other consultants / contractors</x:v>
      </x:c>
      <x:c r="B12" s="44" t="n">
        <x:v>-5000</x:v>
      </x:c>
      <x:c r="C12" s="44" t="n">
        <x:f>-ROUND('Assumptions'!$G$13/12*1,-2)</x:f>
        <x:v>-3300</x:v>
      </x:c>
      <x:c r="D12" s="44" t="n">
        <x:f>-ROUND('Assumptions'!$G$13/12*1,-2)</x:f>
        <x:v>-3300</x:v>
      </x:c>
      <x:c r="E12" s="44" t="n">
        <x:f>-ROUND('Assumptions'!$G$13/12*1,-2)</x:f>
        <x:v>-3300</x:v>
      </x:c>
      <x:c r="F12" s="44" t="n">
        <x:f>-ROUND('Assumptions'!$G$13/12*1,-2)</x:f>
        <x:v>-3300</x:v>
      </x:c>
      <x:c r="G12" s="44" t="n">
        <x:f>-ROUND('Assumptions'!$G$13/12*1,-2)</x:f>
        <x:v>-3300</x:v>
      </x:c>
      <x:c r="H12" s="44" t="n">
        <x:f>-ROUND('Assumptions'!$G$13/12*1,-2)</x:f>
        <x:v>-3300</x:v>
      </x:c>
      <x:c r="I12" s="44" t="n">
        <x:f>-ROUND('Assumptions'!$G$13/12*1,-2)</x:f>
        <x:v>-3300</x:v>
      </x:c>
      <x:c r="J12" s="44" t="n">
        <x:f>-ROUND('Assumptions'!$G$13/12*1,-2)</x:f>
        <x:v>-3300</x:v>
      </x:c>
      <x:c r="K12" s="44" t="n">
        <x:f>-ROUND('Assumptions'!$G$13/12*1,-2)</x:f>
        <x:v>-3300</x:v>
      </x:c>
      <x:c r="L12" s="44" t="n">
        <x:f>-ROUND('Assumptions'!$G$13/12*1,-2)</x:f>
        <x:v>-3300</x:v>
      </x:c>
      <x:c r="M12" s="44" t="n">
        <x:f>-ROUND('Assumptions'!$G$13/12*1,-2)</x:f>
        <x:v>-3300</x:v>
      </x:c>
      <x:c r="N12" s="44" t="n">
        <x:f>-'Assumptions'!$G$13*1-SUM(C12:M12)</x:f>
        <x:v>-3700</x:v>
      </x:c>
      <x:c r="O12" s="44" t="n">
        <x:f>-ROUND('Assumptions'!$G$13/12*(1+'Assumptions'!$B$13),-2)</x:f>
        <x:v>-3700</x:v>
      </x:c>
      <x:c r="P12" s="44" t="n">
        <x:f>-ROUND('Assumptions'!$G$13/12*(1+'Assumptions'!$B$13),-2)</x:f>
        <x:v>-3700</x:v>
      </x:c>
      <x:c r="Q12" s="44" t="n">
        <x:f>-ROUND('Assumptions'!$G$13/12*(1+'Assumptions'!$B$13),-2)</x:f>
        <x:v>-3700</x:v>
      </x:c>
      <x:c r="R12" s="44" t="n">
        <x:f>-ROUND('Assumptions'!$G$13/12*(1+'Assumptions'!$B$13),-2)</x:f>
        <x:v>-3700</x:v>
      </x:c>
      <x:c r="S12" s="44" t="n">
        <x:f>-ROUND('Assumptions'!$G$13/12*(1+'Assumptions'!$B$13),-2)</x:f>
        <x:v>-3700</x:v>
      </x:c>
      <x:c r="T12" s="44" t="n">
        <x:f>-ROUND('Assumptions'!$G$13/12*(1+'Assumptions'!$B$13),-2)</x:f>
        <x:v>-3700</x:v>
      </x:c>
      <x:c r="U12" s="44" t="n">
        <x:f>-ROUND('Assumptions'!$G$13/12*(1+'Assumptions'!$B$13),-2)</x:f>
        <x:v>-3700</x:v>
      </x:c>
      <x:c r="V12" s="44" t="n">
        <x:f>-ROUND('Assumptions'!$G$13/12*(1+'Assumptions'!$B$13),-2)</x:f>
        <x:v>-3700</x:v>
      </x:c>
      <x:c r="W12" s="44" t="n">
        <x:f>-ROUND('Assumptions'!$G$13/12*(1+'Assumptions'!$B$13),-2)</x:f>
        <x:v>-3700</x:v>
      </x:c>
      <x:c r="X12" s="44" t="n">
        <x:f>-ROUND('Assumptions'!$G$13/12*(1+'Assumptions'!$B$13),-2)</x:f>
        <x:v>-3700</x:v>
      </x:c>
      <x:c r="Y12" s="44" t="n">
        <x:f>-ROUND('Assumptions'!$G$13/12*(1+'Assumptions'!$B$13),-2)</x:f>
        <x:v>-3700</x:v>
      </x:c>
      <x:c r="Z12" s="44" t="n">
        <x:f>-'Assumptions'!$G$13*(1+'Assumptions'!$B$13)-SUM(O12:Y12)</x:f>
        <x:v>-3300</x:v>
      </x:c>
      <x:c r="AA12" s="44" t="n">
        <x:f>-ROUND('Assumptions'!$G$13/12*(1+'Assumptions'!$B$13)*(1+'Assumptions'!$B$14),-2)</x:f>
        <x:v>-4000</x:v>
      </x:c>
      <x:c r="AB12" s="44" t="n">
        <x:f>-ROUND('Assumptions'!$G$13/12*(1+'Assumptions'!$B$13)*(1+'Assumptions'!$B$14),-2)</x:f>
        <x:v>-4000</x:v>
      </x:c>
      <x:c r="AC12" s="44" t="n">
        <x:f>-ROUND('Assumptions'!$G$13/12*(1+'Assumptions'!$B$13)*(1+'Assumptions'!$B$14),-2)</x:f>
        <x:v>-4000</x:v>
      </x:c>
      <x:c r="AD12" s="44" t="n">
        <x:f>-ROUND('Assumptions'!$G$13/12*(1+'Assumptions'!$B$13)*(1+'Assumptions'!$B$14),-2)</x:f>
        <x:v>-4000</x:v>
      </x:c>
      <x:c r="AE12" s="44" t="n">
        <x:f>-ROUND('Assumptions'!$G$13/12*(1+'Assumptions'!$B$13)*(1+'Assumptions'!$B$14),-2)</x:f>
        <x:v>-4000</x:v>
      </x:c>
      <x:c r="AF12" s="44" t="n">
        <x:f>-ROUND('Assumptions'!$G$13/12*(1+'Assumptions'!$B$13)*(1+'Assumptions'!$B$14),-2)</x:f>
        <x:v>-4000</x:v>
      </x:c>
      <x:c r="AG12" s="44" t="n">
        <x:f>-ROUND('Assumptions'!$G$13/12*(1+'Assumptions'!$B$13)*(1+'Assumptions'!$B$14),-2)</x:f>
        <x:v>-4000</x:v>
      </x:c>
      <x:c r="AH12" s="44" t="n">
        <x:f>-ROUND('Assumptions'!$G$13/12*(1+'Assumptions'!$B$13)*(1+'Assumptions'!$B$14),-2)</x:f>
        <x:v>-4000</x:v>
      </x:c>
      <x:c r="AI12" s="44" t="n">
        <x:f>-ROUND('Assumptions'!$G$13/12*(1+'Assumptions'!$B$13)*(1+'Assumptions'!$B$14),-2)</x:f>
        <x:v>-4000</x:v>
      </x:c>
      <x:c r="AJ12" s="44" t="n">
        <x:f>-ROUND('Assumptions'!$G$13/12*(1+'Assumptions'!$B$13)*(1+'Assumptions'!$B$14),-2)</x:f>
        <x:v>-4000</x:v>
      </x:c>
      <x:c r="AK12" s="44" t="n">
        <x:f>-ROUND('Assumptions'!$G$13/12*(1+'Assumptions'!$B$13)*(1+'Assumptions'!$B$14),-2)</x:f>
        <x:v>-4000</x:v>
      </x:c>
      <x:c r="AL12" s="44" t="n">
        <x:f>-'Assumptions'!$G$13*(1+'Assumptions'!$B$13)*(1+'Assumptions'!$B$14)-SUM(AA12:AK12)</x:f>
        <x:v>-4400.000000000007</x:v>
      </x:c>
    </x:row>
    <x:row r="13">
      <x:c r="A13" s="51" t="str">
        <x:v>Total Operating Expenses</x:v>
      </x:c>
      <x:c r="B13" s="52" t="n">
        <x:f>SUM(B4:B12)</x:f>
        <x:v>-42500</x:v>
      </x:c>
      <x:c r="C13" s="52" t="n">
        <x:f>SUM(C4:C12)</x:f>
        <x:v>-128300</x:v>
      </x:c>
      <x:c r="D13" s="52" t="n">
        <x:f>SUM(D4:D12)</x:f>
        <x:v>-128300</x:v>
      </x:c>
      <x:c r="E13" s="52" t="n">
        <x:f>SUM(E4:E12)</x:f>
        <x:v>-128300</x:v>
      </x:c>
      <x:c r="F13" s="52" t="n">
        <x:f>SUM(F4:F12)</x:f>
        <x:v>-128300</x:v>
      </x:c>
      <x:c r="G13" s="52" t="n">
        <x:f>SUM(G4:G12)</x:f>
        <x:v>-128300</x:v>
      </x:c>
      <x:c r="H13" s="52" t="n">
        <x:f>SUM(H4:H12)</x:f>
        <x:v>-128300</x:v>
      </x:c>
      <x:c r="I13" s="52" t="n">
        <x:f>SUM(I4:I12)</x:f>
        <x:v>-128300</x:v>
      </x:c>
      <x:c r="J13" s="52" t="n">
        <x:f>SUM(J4:J12)</x:f>
        <x:v>-128300</x:v>
      </x:c>
      <x:c r="K13" s="52" t="n">
        <x:f>SUM(K4:K12)</x:f>
        <x:v>-128300</x:v>
      </x:c>
      <x:c r="L13" s="52" t="n">
        <x:f>SUM(L4:L12)</x:f>
        <x:v>-128300</x:v>
      </x:c>
      <x:c r="M13" s="52" t="n">
        <x:f>SUM(M4:M12)</x:f>
        <x:v>-128300</x:v>
      </x:c>
      <x:c r="N13" s="52" t="n">
        <x:f>SUM(N4:N12)</x:f>
        <x:v>-128700</x:v>
      </x:c>
      <x:c r="O13" s="52" t="n">
        <x:f>SUM(O4:O12)</x:f>
        <x:v>-141300</x:v>
      </x:c>
      <x:c r="P13" s="52" t="n">
        <x:f>SUM(P4:P12)</x:f>
        <x:v>-141300</x:v>
      </x:c>
      <x:c r="Q13" s="52" t="n">
        <x:f>SUM(Q4:Q12)</x:f>
        <x:v>-141300</x:v>
      </x:c>
      <x:c r="R13" s="52" t="n">
        <x:f>SUM(R4:R12)</x:f>
        <x:v>-141300</x:v>
      </x:c>
      <x:c r="S13" s="52" t="n">
        <x:f>SUM(S4:S12)</x:f>
        <x:v>-141300</x:v>
      </x:c>
      <x:c r="T13" s="52" t="n">
        <x:f>SUM(T4:T12)</x:f>
        <x:v>-141300</x:v>
      </x:c>
      <x:c r="U13" s="52" t="n">
        <x:f>SUM(U4:U12)</x:f>
        <x:v>-141300</x:v>
      </x:c>
      <x:c r="V13" s="52" t="n">
        <x:f>SUM(V4:V12)</x:f>
        <x:v>-141300</x:v>
      </x:c>
      <x:c r="W13" s="52" t="n">
        <x:f>SUM(W4:W12)</x:f>
        <x:v>-141300</x:v>
      </x:c>
      <x:c r="X13" s="52" t="n">
        <x:f>SUM(X4:X12)</x:f>
        <x:v>-141300</x:v>
      </x:c>
      <x:c r="Y13" s="52" t="n">
        <x:f>SUM(Y4:Y12)</x:f>
        <x:v>-141300</x:v>
      </x:c>
      <x:c r="Z13" s="52" t="n">
        <x:f>SUM(Z4:Z12)</x:f>
        <x:v>-139700.0000000001</x:v>
      </x:c>
      <x:c r="AA13" s="52" t="n">
        <x:f>SUM(AA4:AA12)</x:f>
        <x:v>-155300</x:v>
      </x:c>
      <x:c r="AB13" s="52" t="n">
        <x:f>SUM(AB4:AB12)</x:f>
        <x:v>-155300</x:v>
      </x:c>
      <x:c r="AC13" s="52" t="n">
        <x:f>SUM(AC4:AC12)</x:f>
        <x:v>-155300</x:v>
      </x:c>
      <x:c r="AD13" s="52" t="n">
        <x:f>SUM(AD4:AD12)</x:f>
        <x:v>-155300</x:v>
      </x:c>
      <x:c r="AE13" s="52" t="n">
        <x:f>SUM(AE4:AE12)</x:f>
        <x:v>-155300</x:v>
      </x:c>
      <x:c r="AF13" s="52" t="n">
        <x:f>SUM(AF4:AF12)</x:f>
        <x:v>-155300</x:v>
      </x:c>
      <x:c r="AG13" s="52" t="n">
        <x:f>SUM(AG4:AG12)</x:f>
        <x:v>-155300</x:v>
      </x:c>
      <x:c r="AH13" s="52" t="n">
        <x:f>SUM(AH4:AH12)</x:f>
        <x:v>-155300</x:v>
      </x:c>
      <x:c r="AI13" s="52" t="n">
        <x:f>SUM(AI4:AI12)</x:f>
        <x:v>-155300</x:v>
      </x:c>
      <x:c r="AJ13" s="52" t="n">
        <x:f>SUM(AJ4:AJ12)</x:f>
        <x:v>-155300</x:v>
      </x:c>
      <x:c r="AK13" s="52" t="n">
        <x:f>SUM(AK4:AK12)</x:f>
        <x:v>-155300</x:v>
      </x:c>
      <x:c r="AL13" s="52" t="n">
        <x:f>SUM(AL4:AL12)</x:f>
        <x:v>-155100.0000000003</x:v>
      </x:c>
    </x:row>
  </x:sheetData>
  <x:mergeCells>
    <x:mergeCell ref="A1:AL1"/>
    <x:mergeCell ref="A2:AL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15" hidden="0" customWidth="1"/>
    <x:col min="3" max="3" width="15" hidden="0" customWidth="1"/>
    <x:col min="4" max="4" width="24"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11" hidden="0" customWidth="1"/>
    <x:col min="33" max="33" width="11" hidden="0" customWidth="1"/>
    <x:col min="34" max="34" width="11" hidden="0" customWidth="1"/>
    <x:col min="35" max="35" width="11" hidden="0" customWidth="1"/>
    <x:col min="36" max="36" width="11" hidden="0" customWidth="1"/>
    <x:col min="37" max="37" width="11" hidden="0" customWidth="1"/>
    <x:col min="38" max="38" width="11" hidden="0" customWidth="1"/>
    <x:col min="39" max="39" width="11" hidden="0" customWidth="1"/>
    <x:col min="40" max="40" width="11" hidden="0" customWidth="1"/>
    <x:col min="41" max="41" width="11" hidden="0" customWidth="1"/>
  </x:cols>
  <x:sheetData>
    <x:row r="1" ht="30" customHeight="1">
      <x:c r="A1" s="31" t="str">
        <x:v>SVT Nexus — Convertible Note Schedule (ACT/365)</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c r="AA1" s="31"/>
      <x:c r="AB1" s="31"/>
      <x:c r="AC1" s="31"/>
      <x:c r="AD1" s="31"/>
      <x:c r="AE1" s="31"/>
      <x:c r="AF1" s="31"/>
      <x:c r="AG1" s="31"/>
      <x:c r="AH1" s="31"/>
      <x:c r="AI1" s="31"/>
      <x:c r="AJ1" s="31"/>
      <x:c r="AK1" s="31"/>
      <x:c r="AL1" s="31"/>
      <x:c r="AM1" s="31"/>
      <x:c r="AN1" s="31"/>
      <x:c r="AO1" s="31"/>
    </x:row>
    <x:row r="2">
      <x:c r="A2" s="42" t="str">
        <x:v>Version 3 | Model date: 21 Aug 2026 | Proposed structure — management and securities counsel review required</x:v>
      </x:c>
      <x:c r="B2" s="42"/>
      <x:c r="C2" s="42"/>
      <x:c r="D2" s="42"/>
      <x:c r="E2" s="42"/>
      <x:c r="F2" s="42"/>
      <x:c r="G2" s="42"/>
      <x:c r="H2" s="42"/>
      <x:c r="I2" s="42"/>
      <x:c r="J2" s="42"/>
      <x:c r="K2" s="42"/>
      <x:c r="L2" s="42"/>
      <x:c r="M2" s="42"/>
      <x:c r="N2" s="42"/>
      <x:c r="O2" s="42"/>
      <x:c r="P2" s="42"/>
      <x:c r="Q2" s="42"/>
      <x:c r="R2" s="42"/>
      <x:c r="S2" s="42"/>
      <x:c r="T2" s="42"/>
      <x:c r="U2" s="42"/>
      <x:c r="V2" s="42"/>
      <x:c r="W2" s="42"/>
      <x:c r="X2" s="42"/>
      <x:c r="Y2" s="42"/>
      <x:c r="Z2" s="42"/>
      <x:c r="AA2" s="42"/>
      <x:c r="AB2" s="42"/>
      <x:c r="AC2" s="42"/>
      <x:c r="AD2" s="42"/>
      <x:c r="AE2" s="42"/>
      <x:c r="AF2" s="42"/>
      <x:c r="AG2" s="42"/>
      <x:c r="AH2" s="42"/>
      <x:c r="AI2" s="42"/>
      <x:c r="AJ2" s="42"/>
      <x:c r="AK2" s="42"/>
      <x:c r="AL2" s="42"/>
      <x:c r="AM2" s="42"/>
      <x:c r="AN2" s="42"/>
      <x:c r="AO2" s="42"/>
    </x:row>
    <x:row r="3">
      <x:c r="A3" s="43"/>
      <x:c r="B3" s="43"/>
      <x:c r="C3" s="43"/>
      <x:c r="D3" s="43"/>
      <x:c r="E3" s="43"/>
      <x:c r="F3" s="43"/>
      <x:c r="G3" s="43"/>
      <x:c r="H3" s="43"/>
      <x:c r="I3" s="43"/>
      <x:c r="J3" s="43"/>
      <x:c r="K3" s="43"/>
      <x:c r="L3" s="43"/>
      <x:c r="M3" s="43"/>
      <x:c r="N3" s="43"/>
      <x:c r="O3" s="43"/>
      <x:c r="P3" s="43"/>
      <x:c r="Q3" s="43"/>
      <x:c r="R3" s="43"/>
      <x:c r="S3" s="43"/>
      <x:c r="T3" s="43"/>
      <x:c r="U3" s="43"/>
      <x:c r="V3" s="43"/>
      <x:c r="W3" s="43"/>
      <x:c r="X3" s="43"/>
      <x:c r="Y3" s="43"/>
      <x:c r="Z3" s="43"/>
      <x:c r="AA3" s="43"/>
      <x:c r="AB3" s="43"/>
      <x:c r="AC3" s="43"/>
      <x:c r="AD3" s="43"/>
      <x:c r="AE3" s="43"/>
      <x:c r="AF3" s="43"/>
      <x:c r="AG3" s="43"/>
      <x:c r="AH3" s="43"/>
      <x:c r="AI3" s="43"/>
      <x:c r="AJ3" s="43"/>
      <x:c r="AK3" s="43"/>
      <x:c r="AL3" s="43"/>
      <x:c r="AM3" s="43"/>
      <x:c r="AN3" s="43"/>
      <x:c r="AO3" s="43"/>
    </x:row>
    <x:row r="4">
      <x:c r="A4" s="15" t="str">
        <x:v>Tranche</x:v>
      </x:c>
      <x:c r="B4" s="15" t="str">
        <x:v>Funding date</x:v>
      </x:c>
      <x:c r="C4" s="15" t="str">
        <x:v>Principal</x:v>
      </x:c>
      <x:c r="D4" s="15" t="str">
        <x:v>Status / basis</x:v>
      </x:c>
      <x:c r="E4" s="50" t="n">
        <x:v>46357</x:v>
      </x:c>
      <x:c r="F4" s="50" t="n">
        <x:v>46388</x:v>
      </x:c>
      <x:c r="G4" s="50" t="n">
        <x:v>46419</x:v>
      </x:c>
      <x:c r="H4" s="50" t="n">
        <x:v>46447</x:v>
      </x:c>
      <x:c r="I4" s="50" t="n">
        <x:v>46478</x:v>
      </x:c>
      <x:c r="J4" s="50" t="n">
        <x:v>46508</x:v>
      </x:c>
      <x:c r="K4" s="50" t="n">
        <x:v>46539</x:v>
      </x:c>
      <x:c r="L4" s="50" t="n">
        <x:v>46569</x:v>
      </x:c>
      <x:c r="M4" s="50" t="n">
        <x:v>46600</x:v>
      </x:c>
      <x:c r="N4" s="50" t="n">
        <x:v>46631</x:v>
      </x:c>
      <x:c r="O4" s="50" t="n">
        <x:v>46661</x:v>
      </x:c>
      <x:c r="P4" s="50" t="n">
        <x:v>46692</x:v>
      </x:c>
      <x:c r="Q4" s="50" t="n">
        <x:v>46722</x:v>
      </x:c>
      <x:c r="R4" s="50" t="n">
        <x:v>46753</x:v>
      </x:c>
      <x:c r="S4" s="50" t="n">
        <x:v>46784</x:v>
      </x:c>
      <x:c r="T4" s="50" t="n">
        <x:v>46813</x:v>
      </x:c>
      <x:c r="U4" s="50" t="n">
        <x:v>46844</x:v>
      </x:c>
      <x:c r="V4" s="50" t="n">
        <x:v>46874</x:v>
      </x:c>
      <x:c r="W4" s="50" t="n">
        <x:v>46905</x:v>
      </x:c>
      <x:c r="X4" s="50" t="n">
        <x:v>46935</x:v>
      </x:c>
      <x:c r="Y4" s="50" t="n">
        <x:v>46966</x:v>
      </x:c>
      <x:c r="Z4" s="50" t="n">
        <x:v>46997</x:v>
      </x:c>
      <x:c r="AA4" s="50" t="n">
        <x:v>47027</x:v>
      </x:c>
      <x:c r="AB4" s="50" t="n">
        <x:v>47058</x:v>
      </x:c>
      <x:c r="AC4" s="50" t="n">
        <x:v>47088</x:v>
      </x:c>
      <x:c r="AD4" s="50" t="n">
        <x:v>47119</x:v>
      </x:c>
      <x:c r="AE4" s="50" t="n">
        <x:v>47150</x:v>
      </x:c>
      <x:c r="AF4" s="50" t="n">
        <x:v>47178</x:v>
      </x:c>
      <x:c r="AG4" s="50" t="n">
        <x:v>47209</x:v>
      </x:c>
      <x:c r="AH4" s="50" t="n">
        <x:v>47239</x:v>
      </x:c>
      <x:c r="AI4" s="50" t="n">
        <x:v>47270</x:v>
      </x:c>
      <x:c r="AJ4" s="50" t="n">
        <x:v>47300</x:v>
      </x:c>
      <x:c r="AK4" s="50" t="n">
        <x:v>47331</x:v>
      </x:c>
      <x:c r="AL4" s="50" t="n">
        <x:v>47362</x:v>
      </x:c>
      <x:c r="AM4" s="50" t="n">
        <x:v>47392</x:v>
      </x:c>
      <x:c r="AN4" s="50" t="n">
        <x:v>47423</x:v>
      </x:c>
      <x:c r="AO4" s="50" t="n">
        <x:v>47453</x:v>
      </x:c>
    </x:row>
    <x:row r="5">
      <x:c r="A5" s="43" t="str">
        <x:v>Phase 1 — Tranche 1</x:v>
      </x:c>
      <x:c r="B5" s="48" t="n">
        <x:v>46357</x:v>
      </x:c>
      <x:c r="C5" s="44" t="n">
        <x:v>150000</x:v>
      </x:c>
      <x:c r="D5" s="43" t="str">
        <x:v>Phase 1</x:v>
      </x:c>
      <x:c r="E5" s="44" t="n">
        <x:f>IF($B5&gt;46387,0,$C5*'Assumptions'!$B$6*(46387-MAX($B5,46357)+1)/365)</x:f>
        <x:v>509.5890410958904</x:v>
      </x:c>
      <x:c r="F5" s="44" t="n">
        <x:f>IF($B5&gt;46418,0,$C5*'Assumptions'!$B$6*(46418-MAX($B5,46388)+1)/365)</x:f>
        <x:v>509.5890410958904</x:v>
      </x:c>
      <x:c r="G5" s="44" t="n">
        <x:f>IF($B5&gt;46446,0,$C5*'Assumptions'!$B$6*(46446-MAX($B5,46419)+1)/365)</x:f>
        <x:v>460.2739726027397</x:v>
      </x:c>
      <x:c r="H5" s="44" t="n">
        <x:f>IF($B5&gt;46477,0,$C5*'Assumptions'!$B$6*(46477-MAX($B5,46447)+1)/365)</x:f>
        <x:v>509.5890410958904</x:v>
      </x:c>
      <x:c r="I5" s="44" t="n">
        <x:f>IF($B5&gt;46507,0,$C5*'Assumptions'!$B$6*(46507-MAX($B5,46478)+1)/365)</x:f>
        <x:v>493.1506849315069</x:v>
      </x:c>
      <x:c r="J5" s="44" t="n">
        <x:f>IF($B5&gt;46538,0,$C5*'Assumptions'!$B$6*(46538-MAX($B5,46508)+1)/365)</x:f>
        <x:v>509.5890410958904</x:v>
      </x:c>
      <x:c r="K5" s="44" t="n">
        <x:f>IF($B5&gt;46568,0,$C5*'Assumptions'!$B$6*(46568-MAX($B5,46539)+1)/365)</x:f>
        <x:v>493.1506849315069</x:v>
      </x:c>
      <x:c r="L5" s="44" t="n">
        <x:f>IF($B5&gt;46599,0,$C5*'Assumptions'!$B$6*(46599-MAX($B5,46569)+1)/365)</x:f>
        <x:v>509.5890410958904</x:v>
      </x:c>
      <x:c r="M5" s="44" t="n">
        <x:f>IF($B5&gt;46630,0,$C5*'Assumptions'!$B$6*(46630-MAX($B5,46600)+1)/365)</x:f>
        <x:v>509.5890410958904</x:v>
      </x:c>
      <x:c r="N5" s="44" t="n">
        <x:f>IF($B5&gt;46660,0,$C5*'Assumptions'!$B$6*(46660-MAX($B5,46631)+1)/365)</x:f>
        <x:v>493.1506849315069</x:v>
      </x:c>
      <x:c r="O5" s="44" t="n">
        <x:f>IF($B5&gt;46691,0,$C5*'Assumptions'!$B$6*(46691-MAX($B5,46661)+1)/365)</x:f>
        <x:v>509.5890410958904</x:v>
      </x:c>
      <x:c r="P5" s="44" t="n">
        <x:f>IF($B5&gt;46721,0,$C5*'Assumptions'!$B$6*(46721-MAX($B5,46692)+1)/365)</x:f>
        <x:v>493.1506849315069</x:v>
      </x:c>
      <x:c r="Q5" s="44" t="n">
        <x:f>IF($B5&gt;46752,0,$C5*'Assumptions'!$B$6*(46752-MAX($B5,46722)+1)/365)</x:f>
        <x:v>509.5890410958904</x:v>
      </x:c>
      <x:c r="R5" s="44" t="n">
        <x:f>IF($B5&gt;46783,0,$C5*'Assumptions'!$B$6*(46783-MAX($B5,46753)+1)/365)</x:f>
        <x:v>509.5890410958904</x:v>
      </x:c>
      <x:c r="S5" s="44" t="n">
        <x:f>IF($B5&gt;46812,0,$C5*'Assumptions'!$B$6*(46812-MAX($B5,46784)+1)/365)</x:f>
        <x:v>476.71232876712327</x:v>
      </x:c>
      <x:c r="T5" s="44" t="n">
        <x:f>IF($B5&gt;46843,0,$C5*'Assumptions'!$B$6*(46843-MAX($B5,46813)+1)/365)</x:f>
        <x:v>509.5890410958904</x:v>
      </x:c>
      <x:c r="U5" s="44" t="n">
        <x:f>IF($B5&gt;46873,0,$C5*'Assumptions'!$B$6*(46873-MAX($B5,46844)+1)/365)</x:f>
        <x:v>493.1506849315069</x:v>
      </x:c>
      <x:c r="V5" s="44" t="n">
        <x:f>IF($B5&gt;46904,0,$C5*'Assumptions'!$B$6*(46904-MAX($B5,46874)+1)/365)</x:f>
        <x:v>509.5890410958904</x:v>
      </x:c>
      <x:c r="W5" s="44" t="n">
        <x:f>IF($B5&gt;46934,0,$C5*'Assumptions'!$B$6*(46934-MAX($B5,46905)+1)/365)</x:f>
        <x:v>493.1506849315069</x:v>
      </x:c>
      <x:c r="X5" s="44" t="n">
        <x:f>IF($B5&gt;46965,0,$C5*'Assumptions'!$B$6*(46965-MAX($B5,46935)+1)/365)</x:f>
        <x:v>509.5890410958904</x:v>
      </x:c>
      <x:c r="Y5" s="44" t="n">
        <x:f>IF($B5&gt;46996,0,$C5*'Assumptions'!$B$6*(46996-MAX($B5,46966)+1)/365)</x:f>
        <x:v>509.5890410958904</x:v>
      </x:c>
      <x:c r="Z5" s="44" t="n">
        <x:f>IF($B5&gt;47026,0,$C5*'Assumptions'!$B$6*(47026-MAX($B5,46997)+1)/365)</x:f>
        <x:v>493.1506849315069</x:v>
      </x:c>
      <x:c r="AA5" s="44" t="n">
        <x:f>IF($B5&gt;47057,0,$C5*'Assumptions'!$B$6*(47057-MAX($B5,47027)+1)/365)</x:f>
        <x:v>509.5890410958904</x:v>
      </x:c>
      <x:c r="AB5" s="44" t="n">
        <x:f>IF($B5&gt;47087,0,$C5*'Assumptions'!$B$6*(47087-MAX($B5,47058)+1)/365)</x:f>
        <x:v>493.1506849315069</x:v>
      </x:c>
      <x:c r="AC5" s="44" t="n">
        <x:f>IF($B5&gt;47118,0,$C5*'Assumptions'!$B$6*(47118-MAX($B5,47088)+1)/365)</x:f>
        <x:v>509.5890410958904</x:v>
      </x:c>
      <x:c r="AD5" s="44" t="n">
        <x:f>IF($B5&gt;47149,0,$C5*'Assumptions'!$B$6*(47149-MAX($B5,47119)+1)/365)</x:f>
        <x:v>509.5890410958904</x:v>
      </x:c>
      <x:c r="AE5" s="44" t="n">
        <x:f>IF($B5&gt;47177,0,$C5*'Assumptions'!$B$6*(47177-MAX($B5,47150)+1)/365)</x:f>
        <x:v>460.2739726027397</x:v>
      </x:c>
      <x:c r="AF5" s="44" t="n">
        <x:f>IF($B5&gt;47208,0,$C5*'Assumptions'!$B$6*(47208-MAX($B5,47178)+1)/365)</x:f>
        <x:v>509.5890410958904</x:v>
      </x:c>
      <x:c r="AG5" s="44" t="n">
        <x:f>IF($B5&gt;47238,0,$C5*'Assumptions'!$B$6*(47238-MAX($B5,47209)+1)/365)</x:f>
        <x:v>493.1506849315069</x:v>
      </x:c>
      <x:c r="AH5" s="44" t="n">
        <x:f>IF($B5&gt;47269,0,$C5*'Assumptions'!$B$6*(47269-MAX($B5,47239)+1)/365)</x:f>
        <x:v>509.5890410958904</x:v>
      </x:c>
      <x:c r="AI5" s="44" t="n">
        <x:f>IF($B5&gt;47299,0,$C5*'Assumptions'!$B$6*(47299-MAX($B5,47270)+1)/365)</x:f>
        <x:v>493.1506849315069</x:v>
      </x:c>
      <x:c r="AJ5" s="44" t="n">
        <x:f>IF($B5&gt;47330,0,$C5*'Assumptions'!$B$6*(47330-MAX($B5,47300)+1)/365)</x:f>
        <x:v>509.5890410958904</x:v>
      </x:c>
      <x:c r="AK5" s="44" t="n">
        <x:f>IF($B5&gt;47361,0,$C5*'Assumptions'!$B$6*(47361-MAX($B5,47331)+1)/365)</x:f>
        <x:v>509.5890410958904</x:v>
      </x:c>
      <x:c r="AL5" s="44" t="n">
        <x:f>IF($B5&gt;47391,0,$C5*'Assumptions'!$B$6*(47391-MAX($B5,47362)+1)/365)</x:f>
        <x:v>493.1506849315069</x:v>
      </x:c>
      <x:c r="AM5" s="44" t="n">
        <x:f>IF($B5&gt;47422,0,$C5*'Assumptions'!$B$6*(47422-MAX($B5,47392)+1)/365)</x:f>
        <x:v>509.5890410958904</x:v>
      </x:c>
      <x:c r="AN5" s="44" t="n">
        <x:f>IF($B5&gt;47452,0,$C5*'Assumptions'!$B$6*(47452-MAX($B5,47423)+1)/365)</x:f>
        <x:v>493.1506849315069</x:v>
      </x:c>
      <x:c r="AO5" s="44" t="n">
        <x:f>IF($B5&gt;47483,0,$C5*'Assumptions'!$B$6*(47483-MAX($B5,47453)+1)/365)</x:f>
        <x:v>509.5890410958904</x:v>
      </x:c>
    </x:row>
    <x:row r="6">
      <x:c r="A6" s="43" t="str">
        <x:v>Phase 1 — Tranche 2</x:v>
      </x:c>
      <x:c r="B6" s="48" t="n">
        <x:v>46388</x:v>
      </x:c>
      <x:c r="C6" s="44" t="n">
        <x:v>300000</x:v>
      </x:c>
      <x:c r="D6" s="43" t="str">
        <x:v>Phase 1</x:v>
      </x:c>
      <x:c r="E6" s="44" t="n">
        <x:f>IF($B6&gt;46387,0,$C6*'Assumptions'!$B$6*(46387-MAX($B6,46357)+1)/365)</x:f>
        <x:v>0</x:v>
      </x:c>
      <x:c r="F6" s="44" t="n">
        <x:f>IF($B6&gt;46418,0,$C6*'Assumptions'!$B$6*(46418-MAX($B6,46388)+1)/365)</x:f>
        <x:v>1019.1780821917808</x:v>
      </x:c>
      <x:c r="G6" s="44" t="n">
        <x:f>IF($B6&gt;46446,0,$C6*'Assumptions'!$B$6*(46446-MAX($B6,46419)+1)/365)</x:f>
        <x:v>920.5479452054794</x:v>
      </x:c>
      <x:c r="H6" s="44" t="n">
        <x:f>IF($B6&gt;46477,0,$C6*'Assumptions'!$B$6*(46477-MAX($B6,46447)+1)/365)</x:f>
        <x:v>1019.1780821917808</x:v>
      </x:c>
      <x:c r="I6" s="44" t="n">
        <x:f>IF($B6&gt;46507,0,$C6*'Assumptions'!$B$6*(46507-MAX($B6,46478)+1)/365)</x:f>
        <x:v>986.3013698630137</x:v>
      </x:c>
      <x:c r="J6" s="44" t="n">
        <x:f>IF($B6&gt;46538,0,$C6*'Assumptions'!$B$6*(46538-MAX($B6,46508)+1)/365)</x:f>
        <x:v>1019.1780821917808</x:v>
      </x:c>
      <x:c r="K6" s="44" t="n">
        <x:f>IF($B6&gt;46568,0,$C6*'Assumptions'!$B$6*(46568-MAX($B6,46539)+1)/365)</x:f>
        <x:v>986.3013698630137</x:v>
      </x:c>
      <x:c r="L6" s="44" t="n">
        <x:f>IF($B6&gt;46599,0,$C6*'Assumptions'!$B$6*(46599-MAX($B6,46569)+1)/365)</x:f>
        <x:v>1019.1780821917808</x:v>
      </x:c>
      <x:c r="M6" s="44" t="n">
        <x:f>IF($B6&gt;46630,0,$C6*'Assumptions'!$B$6*(46630-MAX($B6,46600)+1)/365)</x:f>
        <x:v>1019.1780821917808</x:v>
      </x:c>
      <x:c r="N6" s="44" t="n">
        <x:f>IF($B6&gt;46660,0,$C6*'Assumptions'!$B$6*(46660-MAX($B6,46631)+1)/365)</x:f>
        <x:v>986.3013698630137</x:v>
      </x:c>
      <x:c r="O6" s="44" t="n">
        <x:f>IF($B6&gt;46691,0,$C6*'Assumptions'!$B$6*(46691-MAX($B6,46661)+1)/365)</x:f>
        <x:v>1019.1780821917808</x:v>
      </x:c>
      <x:c r="P6" s="44" t="n">
        <x:f>IF($B6&gt;46721,0,$C6*'Assumptions'!$B$6*(46721-MAX($B6,46692)+1)/365)</x:f>
        <x:v>986.3013698630137</x:v>
      </x:c>
      <x:c r="Q6" s="44" t="n">
        <x:f>IF($B6&gt;46752,0,$C6*'Assumptions'!$B$6*(46752-MAX($B6,46722)+1)/365)</x:f>
        <x:v>1019.1780821917808</x:v>
      </x:c>
      <x:c r="R6" s="44" t="n">
        <x:f>IF($B6&gt;46783,0,$C6*'Assumptions'!$B$6*(46783-MAX($B6,46753)+1)/365)</x:f>
        <x:v>1019.1780821917808</x:v>
      </x:c>
      <x:c r="S6" s="44" t="n">
        <x:f>IF($B6&gt;46812,0,$C6*'Assumptions'!$B$6*(46812-MAX($B6,46784)+1)/365)</x:f>
        <x:v>953.4246575342465</x:v>
      </x:c>
      <x:c r="T6" s="44" t="n">
        <x:f>IF($B6&gt;46843,0,$C6*'Assumptions'!$B$6*(46843-MAX($B6,46813)+1)/365)</x:f>
        <x:v>1019.1780821917808</x:v>
      </x:c>
      <x:c r="U6" s="44" t="n">
        <x:f>IF($B6&gt;46873,0,$C6*'Assumptions'!$B$6*(46873-MAX($B6,46844)+1)/365)</x:f>
        <x:v>986.3013698630137</x:v>
      </x:c>
      <x:c r="V6" s="44" t="n">
        <x:f>IF($B6&gt;46904,0,$C6*'Assumptions'!$B$6*(46904-MAX($B6,46874)+1)/365)</x:f>
        <x:v>1019.1780821917808</x:v>
      </x:c>
      <x:c r="W6" s="44" t="n">
        <x:f>IF($B6&gt;46934,0,$C6*'Assumptions'!$B$6*(46934-MAX($B6,46905)+1)/365)</x:f>
        <x:v>986.3013698630137</x:v>
      </x:c>
      <x:c r="X6" s="44" t="n">
        <x:f>IF($B6&gt;46965,0,$C6*'Assumptions'!$B$6*(46965-MAX($B6,46935)+1)/365)</x:f>
        <x:v>1019.1780821917808</x:v>
      </x:c>
      <x:c r="Y6" s="44" t="n">
        <x:f>IF($B6&gt;46996,0,$C6*'Assumptions'!$B$6*(46996-MAX($B6,46966)+1)/365)</x:f>
        <x:v>1019.1780821917808</x:v>
      </x:c>
      <x:c r="Z6" s="44" t="n">
        <x:f>IF($B6&gt;47026,0,$C6*'Assumptions'!$B$6*(47026-MAX($B6,46997)+1)/365)</x:f>
        <x:v>986.3013698630137</x:v>
      </x:c>
      <x:c r="AA6" s="44" t="n">
        <x:f>IF($B6&gt;47057,0,$C6*'Assumptions'!$B$6*(47057-MAX($B6,47027)+1)/365)</x:f>
        <x:v>1019.1780821917808</x:v>
      </x:c>
      <x:c r="AB6" s="44" t="n">
        <x:f>IF($B6&gt;47087,0,$C6*'Assumptions'!$B$6*(47087-MAX($B6,47058)+1)/365)</x:f>
        <x:v>986.3013698630137</x:v>
      </x:c>
      <x:c r="AC6" s="44" t="n">
        <x:f>IF($B6&gt;47118,0,$C6*'Assumptions'!$B$6*(47118-MAX($B6,47088)+1)/365)</x:f>
        <x:v>1019.1780821917808</x:v>
      </x:c>
      <x:c r="AD6" s="44" t="n">
        <x:f>IF($B6&gt;47149,0,$C6*'Assumptions'!$B$6*(47149-MAX($B6,47119)+1)/365)</x:f>
        <x:v>1019.1780821917808</x:v>
      </x:c>
      <x:c r="AE6" s="44" t="n">
        <x:f>IF($B6&gt;47177,0,$C6*'Assumptions'!$B$6*(47177-MAX($B6,47150)+1)/365)</x:f>
        <x:v>920.5479452054794</x:v>
      </x:c>
      <x:c r="AF6" s="44" t="n">
        <x:f>IF($B6&gt;47208,0,$C6*'Assumptions'!$B$6*(47208-MAX($B6,47178)+1)/365)</x:f>
        <x:v>1019.1780821917808</x:v>
      </x:c>
      <x:c r="AG6" s="44" t="n">
        <x:f>IF($B6&gt;47238,0,$C6*'Assumptions'!$B$6*(47238-MAX($B6,47209)+1)/365)</x:f>
        <x:v>986.3013698630137</x:v>
      </x:c>
      <x:c r="AH6" s="44" t="n">
        <x:f>IF($B6&gt;47269,0,$C6*'Assumptions'!$B$6*(47269-MAX($B6,47239)+1)/365)</x:f>
        <x:v>1019.1780821917808</x:v>
      </x:c>
      <x:c r="AI6" s="44" t="n">
        <x:f>IF($B6&gt;47299,0,$C6*'Assumptions'!$B$6*(47299-MAX($B6,47270)+1)/365)</x:f>
        <x:v>986.3013698630137</x:v>
      </x:c>
      <x:c r="AJ6" s="44" t="n">
        <x:f>IF($B6&gt;47330,0,$C6*'Assumptions'!$B$6*(47330-MAX($B6,47300)+1)/365)</x:f>
        <x:v>1019.1780821917808</x:v>
      </x:c>
      <x:c r="AK6" s="44" t="n">
        <x:f>IF($B6&gt;47361,0,$C6*'Assumptions'!$B$6*(47361-MAX($B6,47331)+1)/365)</x:f>
        <x:v>1019.1780821917808</x:v>
      </x:c>
      <x:c r="AL6" s="44" t="n">
        <x:f>IF($B6&gt;47391,0,$C6*'Assumptions'!$B$6*(47391-MAX($B6,47362)+1)/365)</x:f>
        <x:v>986.3013698630137</x:v>
      </x:c>
      <x:c r="AM6" s="44" t="n">
        <x:f>IF($B6&gt;47422,0,$C6*'Assumptions'!$B$6*(47422-MAX($B6,47392)+1)/365)</x:f>
        <x:v>1019.1780821917808</x:v>
      </x:c>
      <x:c r="AN6" s="44" t="n">
        <x:f>IF($B6&gt;47452,0,$C6*'Assumptions'!$B$6*(47452-MAX($B6,47423)+1)/365)</x:f>
        <x:v>986.3013698630137</x:v>
      </x:c>
      <x:c r="AO6" s="44" t="n">
        <x:f>IF($B6&gt;47483,0,$C6*'Assumptions'!$B$6*(47483-MAX($B6,47453)+1)/365)</x:f>
        <x:v>1019.1780821917808</x:v>
      </x:c>
    </x:row>
    <x:row r="7">
      <x:c r="A7" s="43" t="str">
        <x:v>Phase 1 — Tranche 3</x:v>
      </x:c>
      <x:c r="B7" s="48" t="n">
        <x:v>46419</x:v>
      </x:c>
      <x:c r="C7" s="44" t="n">
        <x:v>300000</x:v>
      </x:c>
      <x:c r="D7" s="43" t="str">
        <x:v>Phase 1</x:v>
      </x:c>
      <x:c r="E7" s="44" t="n">
        <x:f>IF($B7&gt;46387,0,$C7*'Assumptions'!$B$6*(46387-MAX($B7,46357)+1)/365)</x:f>
        <x:v>0</x:v>
      </x:c>
      <x:c r="F7" s="44" t="n">
        <x:f>IF($B7&gt;46418,0,$C7*'Assumptions'!$B$6*(46418-MAX($B7,46388)+1)/365)</x:f>
        <x:v>0</x:v>
      </x:c>
      <x:c r="G7" s="44" t="n">
        <x:f>IF($B7&gt;46446,0,$C7*'Assumptions'!$B$6*(46446-MAX($B7,46419)+1)/365)</x:f>
        <x:v>920.5479452054794</x:v>
      </x:c>
      <x:c r="H7" s="44" t="n">
        <x:f>IF($B7&gt;46477,0,$C7*'Assumptions'!$B$6*(46477-MAX($B7,46447)+1)/365)</x:f>
        <x:v>1019.1780821917808</x:v>
      </x:c>
      <x:c r="I7" s="44" t="n">
        <x:f>IF($B7&gt;46507,0,$C7*'Assumptions'!$B$6*(46507-MAX($B7,46478)+1)/365)</x:f>
        <x:v>986.3013698630137</x:v>
      </x:c>
      <x:c r="J7" s="44" t="n">
        <x:f>IF($B7&gt;46538,0,$C7*'Assumptions'!$B$6*(46538-MAX($B7,46508)+1)/365)</x:f>
        <x:v>1019.1780821917808</x:v>
      </x:c>
      <x:c r="K7" s="44" t="n">
        <x:f>IF($B7&gt;46568,0,$C7*'Assumptions'!$B$6*(46568-MAX($B7,46539)+1)/365)</x:f>
        <x:v>986.3013698630137</x:v>
      </x:c>
      <x:c r="L7" s="44" t="n">
        <x:f>IF($B7&gt;46599,0,$C7*'Assumptions'!$B$6*(46599-MAX($B7,46569)+1)/365)</x:f>
        <x:v>1019.1780821917808</x:v>
      </x:c>
      <x:c r="M7" s="44" t="n">
        <x:f>IF($B7&gt;46630,0,$C7*'Assumptions'!$B$6*(46630-MAX($B7,46600)+1)/365)</x:f>
        <x:v>1019.1780821917808</x:v>
      </x:c>
      <x:c r="N7" s="44" t="n">
        <x:f>IF($B7&gt;46660,0,$C7*'Assumptions'!$B$6*(46660-MAX($B7,46631)+1)/365)</x:f>
        <x:v>986.3013698630137</x:v>
      </x:c>
      <x:c r="O7" s="44" t="n">
        <x:f>IF($B7&gt;46691,0,$C7*'Assumptions'!$B$6*(46691-MAX($B7,46661)+1)/365)</x:f>
        <x:v>1019.1780821917808</x:v>
      </x:c>
      <x:c r="P7" s="44" t="n">
        <x:f>IF($B7&gt;46721,0,$C7*'Assumptions'!$B$6*(46721-MAX($B7,46692)+1)/365)</x:f>
        <x:v>986.3013698630137</x:v>
      </x:c>
      <x:c r="Q7" s="44" t="n">
        <x:f>IF($B7&gt;46752,0,$C7*'Assumptions'!$B$6*(46752-MAX($B7,46722)+1)/365)</x:f>
        <x:v>1019.1780821917808</x:v>
      </x:c>
      <x:c r="R7" s="44" t="n">
        <x:f>IF($B7&gt;46783,0,$C7*'Assumptions'!$B$6*(46783-MAX($B7,46753)+1)/365)</x:f>
        <x:v>1019.1780821917808</x:v>
      </x:c>
      <x:c r="S7" s="44" t="n">
        <x:f>IF($B7&gt;46812,0,$C7*'Assumptions'!$B$6*(46812-MAX($B7,46784)+1)/365)</x:f>
        <x:v>953.4246575342465</x:v>
      </x:c>
      <x:c r="T7" s="44" t="n">
        <x:f>IF($B7&gt;46843,0,$C7*'Assumptions'!$B$6*(46843-MAX($B7,46813)+1)/365)</x:f>
        <x:v>1019.1780821917808</x:v>
      </x:c>
      <x:c r="U7" s="44" t="n">
        <x:f>IF($B7&gt;46873,0,$C7*'Assumptions'!$B$6*(46873-MAX($B7,46844)+1)/365)</x:f>
        <x:v>986.3013698630137</x:v>
      </x:c>
      <x:c r="V7" s="44" t="n">
        <x:f>IF($B7&gt;46904,0,$C7*'Assumptions'!$B$6*(46904-MAX($B7,46874)+1)/365)</x:f>
        <x:v>1019.1780821917808</x:v>
      </x:c>
      <x:c r="W7" s="44" t="n">
        <x:f>IF($B7&gt;46934,0,$C7*'Assumptions'!$B$6*(46934-MAX($B7,46905)+1)/365)</x:f>
        <x:v>986.3013698630137</x:v>
      </x:c>
      <x:c r="X7" s="44" t="n">
        <x:f>IF($B7&gt;46965,0,$C7*'Assumptions'!$B$6*(46965-MAX($B7,46935)+1)/365)</x:f>
        <x:v>1019.1780821917808</x:v>
      </x:c>
      <x:c r="Y7" s="44" t="n">
        <x:f>IF($B7&gt;46996,0,$C7*'Assumptions'!$B$6*(46996-MAX($B7,46966)+1)/365)</x:f>
        <x:v>1019.1780821917808</x:v>
      </x:c>
      <x:c r="Z7" s="44" t="n">
        <x:f>IF($B7&gt;47026,0,$C7*'Assumptions'!$B$6*(47026-MAX($B7,46997)+1)/365)</x:f>
        <x:v>986.3013698630137</x:v>
      </x:c>
      <x:c r="AA7" s="44" t="n">
        <x:f>IF($B7&gt;47057,0,$C7*'Assumptions'!$B$6*(47057-MAX($B7,47027)+1)/365)</x:f>
        <x:v>1019.1780821917808</x:v>
      </x:c>
      <x:c r="AB7" s="44" t="n">
        <x:f>IF($B7&gt;47087,0,$C7*'Assumptions'!$B$6*(47087-MAX($B7,47058)+1)/365)</x:f>
        <x:v>986.3013698630137</x:v>
      </x:c>
      <x:c r="AC7" s="44" t="n">
        <x:f>IF($B7&gt;47118,0,$C7*'Assumptions'!$B$6*(47118-MAX($B7,47088)+1)/365)</x:f>
        <x:v>1019.1780821917808</x:v>
      </x:c>
      <x:c r="AD7" s="44" t="n">
        <x:f>IF($B7&gt;47149,0,$C7*'Assumptions'!$B$6*(47149-MAX($B7,47119)+1)/365)</x:f>
        <x:v>1019.1780821917808</x:v>
      </x:c>
      <x:c r="AE7" s="44" t="n">
        <x:f>IF($B7&gt;47177,0,$C7*'Assumptions'!$B$6*(47177-MAX($B7,47150)+1)/365)</x:f>
        <x:v>920.5479452054794</x:v>
      </x:c>
      <x:c r="AF7" s="44" t="n">
        <x:f>IF($B7&gt;47208,0,$C7*'Assumptions'!$B$6*(47208-MAX($B7,47178)+1)/365)</x:f>
        <x:v>1019.1780821917808</x:v>
      </x:c>
      <x:c r="AG7" s="44" t="n">
        <x:f>IF($B7&gt;47238,0,$C7*'Assumptions'!$B$6*(47238-MAX($B7,47209)+1)/365)</x:f>
        <x:v>986.3013698630137</x:v>
      </x:c>
      <x:c r="AH7" s="44" t="n">
        <x:f>IF($B7&gt;47269,0,$C7*'Assumptions'!$B$6*(47269-MAX($B7,47239)+1)/365)</x:f>
        <x:v>1019.1780821917808</x:v>
      </x:c>
      <x:c r="AI7" s="44" t="n">
        <x:f>IF($B7&gt;47299,0,$C7*'Assumptions'!$B$6*(47299-MAX($B7,47270)+1)/365)</x:f>
        <x:v>986.3013698630137</x:v>
      </x:c>
      <x:c r="AJ7" s="44" t="n">
        <x:f>IF($B7&gt;47330,0,$C7*'Assumptions'!$B$6*(47330-MAX($B7,47300)+1)/365)</x:f>
        <x:v>1019.1780821917808</x:v>
      </x:c>
      <x:c r="AK7" s="44" t="n">
        <x:f>IF($B7&gt;47361,0,$C7*'Assumptions'!$B$6*(47361-MAX($B7,47331)+1)/365)</x:f>
        <x:v>1019.1780821917808</x:v>
      </x:c>
      <x:c r="AL7" s="44" t="n">
        <x:f>IF($B7&gt;47391,0,$C7*'Assumptions'!$B$6*(47391-MAX($B7,47362)+1)/365)</x:f>
        <x:v>986.3013698630137</x:v>
      </x:c>
      <x:c r="AM7" s="44" t="n">
        <x:f>IF($B7&gt;47422,0,$C7*'Assumptions'!$B$6*(47422-MAX($B7,47392)+1)/365)</x:f>
        <x:v>1019.1780821917808</x:v>
      </x:c>
      <x:c r="AN7" s="44" t="n">
        <x:f>IF($B7&gt;47452,0,$C7*'Assumptions'!$B$6*(47452-MAX($B7,47423)+1)/365)</x:f>
        <x:v>986.3013698630137</x:v>
      </x:c>
      <x:c r="AO7" s="44" t="n">
        <x:f>IF($B7&gt;47483,0,$C7*'Assumptions'!$B$6*(47483-MAX($B7,47453)+1)/365)</x:f>
        <x:v>1019.1780821917808</x:v>
      </x:c>
    </x:row>
    <x:row r="8">
      <x:c r="A8" s="43" t="str">
        <x:v>Phase 1 — Tranche 4</x:v>
      </x:c>
      <x:c r="B8" s="48" t="n">
        <x:v>46447</x:v>
      </x:c>
      <x:c r="C8" s="44" t="n">
        <x:v>250000</x:v>
      </x:c>
      <x:c r="D8" s="43" t="str">
        <x:v>Phase 1</x:v>
      </x:c>
      <x:c r="E8" s="44" t="n">
        <x:f>IF($B8&gt;46387,0,$C8*'Assumptions'!$B$6*(46387-MAX($B8,46357)+1)/365)</x:f>
        <x:v>0</x:v>
      </x:c>
      <x:c r="F8" s="44" t="n">
        <x:f>IF($B8&gt;46418,0,$C8*'Assumptions'!$B$6*(46418-MAX($B8,46388)+1)/365)</x:f>
        <x:v>0</x:v>
      </x:c>
      <x:c r="G8" s="44" t="n">
        <x:f>IF($B8&gt;46446,0,$C8*'Assumptions'!$B$6*(46446-MAX($B8,46419)+1)/365)</x:f>
        <x:v>0</x:v>
      </x:c>
      <x:c r="H8" s="44" t="n">
        <x:f>IF($B8&gt;46477,0,$C8*'Assumptions'!$B$6*(46477-MAX($B8,46447)+1)/365)</x:f>
        <x:v>849.3150684931506</x:v>
      </x:c>
      <x:c r="I8" s="44" t="n">
        <x:f>IF($B8&gt;46507,0,$C8*'Assumptions'!$B$6*(46507-MAX($B8,46478)+1)/365)</x:f>
        <x:v>821.917808219178</x:v>
      </x:c>
      <x:c r="J8" s="44" t="n">
        <x:f>IF($B8&gt;46538,0,$C8*'Assumptions'!$B$6*(46538-MAX($B8,46508)+1)/365)</x:f>
        <x:v>849.3150684931506</x:v>
      </x:c>
      <x:c r="K8" s="44" t="n">
        <x:f>IF($B8&gt;46568,0,$C8*'Assumptions'!$B$6*(46568-MAX($B8,46539)+1)/365)</x:f>
        <x:v>821.917808219178</x:v>
      </x:c>
      <x:c r="L8" s="44" t="n">
        <x:f>IF($B8&gt;46599,0,$C8*'Assumptions'!$B$6*(46599-MAX($B8,46569)+1)/365)</x:f>
        <x:v>849.3150684931506</x:v>
      </x:c>
      <x:c r="M8" s="44" t="n">
        <x:f>IF($B8&gt;46630,0,$C8*'Assumptions'!$B$6*(46630-MAX($B8,46600)+1)/365)</x:f>
        <x:v>849.3150684931506</x:v>
      </x:c>
      <x:c r="N8" s="44" t="n">
        <x:f>IF($B8&gt;46660,0,$C8*'Assumptions'!$B$6*(46660-MAX($B8,46631)+1)/365)</x:f>
        <x:v>821.917808219178</x:v>
      </x:c>
      <x:c r="O8" s="44" t="n">
        <x:f>IF($B8&gt;46691,0,$C8*'Assumptions'!$B$6*(46691-MAX($B8,46661)+1)/365)</x:f>
        <x:v>849.3150684931506</x:v>
      </x:c>
      <x:c r="P8" s="44" t="n">
        <x:f>IF($B8&gt;46721,0,$C8*'Assumptions'!$B$6*(46721-MAX($B8,46692)+1)/365)</x:f>
        <x:v>821.917808219178</x:v>
      </x:c>
      <x:c r="Q8" s="44" t="n">
        <x:f>IF($B8&gt;46752,0,$C8*'Assumptions'!$B$6*(46752-MAX($B8,46722)+1)/365)</x:f>
        <x:v>849.3150684931506</x:v>
      </x:c>
      <x:c r="R8" s="44" t="n">
        <x:f>IF($B8&gt;46783,0,$C8*'Assumptions'!$B$6*(46783-MAX($B8,46753)+1)/365)</x:f>
        <x:v>849.3150684931506</x:v>
      </x:c>
      <x:c r="S8" s="44" t="n">
        <x:f>IF($B8&gt;46812,0,$C8*'Assumptions'!$B$6*(46812-MAX($B8,46784)+1)/365)</x:f>
        <x:v>794.5205479452055</x:v>
      </x:c>
      <x:c r="T8" s="44" t="n">
        <x:f>IF($B8&gt;46843,0,$C8*'Assumptions'!$B$6*(46843-MAX($B8,46813)+1)/365)</x:f>
        <x:v>849.3150684931506</x:v>
      </x:c>
      <x:c r="U8" s="44" t="n">
        <x:f>IF($B8&gt;46873,0,$C8*'Assumptions'!$B$6*(46873-MAX($B8,46844)+1)/365)</x:f>
        <x:v>821.917808219178</x:v>
      </x:c>
      <x:c r="V8" s="44" t="n">
        <x:f>IF($B8&gt;46904,0,$C8*'Assumptions'!$B$6*(46904-MAX($B8,46874)+1)/365)</x:f>
        <x:v>849.3150684931506</x:v>
      </x:c>
      <x:c r="W8" s="44" t="n">
        <x:f>IF($B8&gt;46934,0,$C8*'Assumptions'!$B$6*(46934-MAX($B8,46905)+1)/365)</x:f>
        <x:v>821.917808219178</x:v>
      </x:c>
      <x:c r="X8" s="44" t="n">
        <x:f>IF($B8&gt;46965,0,$C8*'Assumptions'!$B$6*(46965-MAX($B8,46935)+1)/365)</x:f>
        <x:v>849.3150684931506</x:v>
      </x:c>
      <x:c r="Y8" s="44" t="n">
        <x:f>IF($B8&gt;46996,0,$C8*'Assumptions'!$B$6*(46996-MAX($B8,46966)+1)/365)</x:f>
        <x:v>849.3150684931506</x:v>
      </x:c>
      <x:c r="Z8" s="44" t="n">
        <x:f>IF($B8&gt;47026,0,$C8*'Assumptions'!$B$6*(47026-MAX($B8,46997)+1)/365)</x:f>
        <x:v>821.917808219178</x:v>
      </x:c>
      <x:c r="AA8" s="44" t="n">
        <x:f>IF($B8&gt;47057,0,$C8*'Assumptions'!$B$6*(47057-MAX($B8,47027)+1)/365)</x:f>
        <x:v>849.3150684931506</x:v>
      </x:c>
      <x:c r="AB8" s="44" t="n">
        <x:f>IF($B8&gt;47087,0,$C8*'Assumptions'!$B$6*(47087-MAX($B8,47058)+1)/365)</x:f>
        <x:v>821.917808219178</x:v>
      </x:c>
      <x:c r="AC8" s="44" t="n">
        <x:f>IF($B8&gt;47118,0,$C8*'Assumptions'!$B$6*(47118-MAX($B8,47088)+1)/365)</x:f>
        <x:v>849.3150684931506</x:v>
      </x:c>
      <x:c r="AD8" s="44" t="n">
        <x:f>IF($B8&gt;47149,0,$C8*'Assumptions'!$B$6*(47149-MAX($B8,47119)+1)/365)</x:f>
        <x:v>849.3150684931506</x:v>
      </x:c>
      <x:c r="AE8" s="44" t="n">
        <x:f>IF($B8&gt;47177,0,$C8*'Assumptions'!$B$6*(47177-MAX($B8,47150)+1)/365)</x:f>
        <x:v>767.1232876712329</x:v>
      </x:c>
      <x:c r="AF8" s="44" t="n">
        <x:f>IF($B8&gt;47208,0,$C8*'Assumptions'!$B$6*(47208-MAX($B8,47178)+1)/365)</x:f>
        <x:v>849.3150684931506</x:v>
      </x:c>
      <x:c r="AG8" s="44" t="n">
        <x:f>IF($B8&gt;47238,0,$C8*'Assumptions'!$B$6*(47238-MAX($B8,47209)+1)/365)</x:f>
        <x:v>821.917808219178</x:v>
      </x:c>
      <x:c r="AH8" s="44" t="n">
        <x:f>IF($B8&gt;47269,0,$C8*'Assumptions'!$B$6*(47269-MAX($B8,47239)+1)/365)</x:f>
        <x:v>849.3150684931506</x:v>
      </x:c>
      <x:c r="AI8" s="44" t="n">
        <x:f>IF($B8&gt;47299,0,$C8*'Assumptions'!$B$6*(47299-MAX($B8,47270)+1)/365)</x:f>
        <x:v>821.917808219178</x:v>
      </x:c>
      <x:c r="AJ8" s="44" t="n">
        <x:f>IF($B8&gt;47330,0,$C8*'Assumptions'!$B$6*(47330-MAX($B8,47300)+1)/365)</x:f>
        <x:v>849.3150684931506</x:v>
      </x:c>
      <x:c r="AK8" s="44" t="n">
        <x:f>IF($B8&gt;47361,0,$C8*'Assumptions'!$B$6*(47361-MAX($B8,47331)+1)/365)</x:f>
        <x:v>849.3150684931506</x:v>
      </x:c>
      <x:c r="AL8" s="44" t="n">
        <x:f>IF($B8&gt;47391,0,$C8*'Assumptions'!$B$6*(47391-MAX($B8,47362)+1)/365)</x:f>
        <x:v>821.917808219178</x:v>
      </x:c>
      <x:c r="AM8" s="44" t="n">
        <x:f>IF($B8&gt;47422,0,$C8*'Assumptions'!$B$6*(47422-MAX($B8,47392)+1)/365)</x:f>
        <x:v>849.3150684931506</x:v>
      </x:c>
      <x:c r="AN8" s="44" t="n">
        <x:f>IF($B8&gt;47452,0,$C8*'Assumptions'!$B$6*(47452-MAX($B8,47423)+1)/365)</x:f>
        <x:v>821.917808219178</x:v>
      </x:c>
      <x:c r="AO8" s="44" t="n">
        <x:f>IF($B8&gt;47483,0,$C8*'Assumptions'!$B$6*(47483-MAX($B8,47453)+1)/365)</x:f>
        <x:v>849.3150684931506</x:v>
      </x:c>
    </x:row>
    <x:row r="9">
      <x:c r="A9" s="43" t="str">
        <x:v>Phase 1 — Tranche 5</x:v>
      </x:c>
      <x:c r="B9" s="48" t="n">
        <x:v>46478</x:v>
      </x:c>
      <x:c r="C9" s="44" t="n">
        <x:v>250000</x:v>
      </x:c>
      <x:c r="D9" s="43" t="str">
        <x:v>Phase 1</x:v>
      </x:c>
      <x:c r="E9" s="44" t="n">
        <x:f>IF($B9&gt;46387,0,$C9*'Assumptions'!$B$6*(46387-MAX($B9,46357)+1)/365)</x:f>
        <x:v>0</x:v>
      </x:c>
      <x:c r="F9" s="44" t="n">
        <x:f>IF($B9&gt;46418,0,$C9*'Assumptions'!$B$6*(46418-MAX($B9,46388)+1)/365)</x:f>
        <x:v>0</x:v>
      </x:c>
      <x:c r="G9" s="44" t="n">
        <x:f>IF($B9&gt;46446,0,$C9*'Assumptions'!$B$6*(46446-MAX($B9,46419)+1)/365)</x:f>
        <x:v>0</x:v>
      </x:c>
      <x:c r="H9" s="44" t="n">
        <x:f>IF($B9&gt;46477,0,$C9*'Assumptions'!$B$6*(46477-MAX($B9,46447)+1)/365)</x:f>
        <x:v>0</x:v>
      </x:c>
      <x:c r="I9" s="44" t="n">
        <x:f>IF($B9&gt;46507,0,$C9*'Assumptions'!$B$6*(46507-MAX($B9,46478)+1)/365)</x:f>
        <x:v>821.917808219178</x:v>
      </x:c>
      <x:c r="J9" s="44" t="n">
        <x:f>IF($B9&gt;46538,0,$C9*'Assumptions'!$B$6*(46538-MAX($B9,46508)+1)/365)</x:f>
        <x:v>849.3150684931506</x:v>
      </x:c>
      <x:c r="K9" s="44" t="n">
        <x:f>IF($B9&gt;46568,0,$C9*'Assumptions'!$B$6*(46568-MAX($B9,46539)+1)/365)</x:f>
        <x:v>821.917808219178</x:v>
      </x:c>
      <x:c r="L9" s="44" t="n">
        <x:f>IF($B9&gt;46599,0,$C9*'Assumptions'!$B$6*(46599-MAX($B9,46569)+1)/365)</x:f>
        <x:v>849.3150684931506</x:v>
      </x:c>
      <x:c r="M9" s="44" t="n">
        <x:f>IF($B9&gt;46630,0,$C9*'Assumptions'!$B$6*(46630-MAX($B9,46600)+1)/365)</x:f>
        <x:v>849.3150684931506</x:v>
      </x:c>
      <x:c r="N9" s="44" t="n">
        <x:f>IF($B9&gt;46660,0,$C9*'Assumptions'!$B$6*(46660-MAX($B9,46631)+1)/365)</x:f>
        <x:v>821.917808219178</x:v>
      </x:c>
      <x:c r="O9" s="44" t="n">
        <x:f>IF($B9&gt;46691,0,$C9*'Assumptions'!$B$6*(46691-MAX($B9,46661)+1)/365)</x:f>
        <x:v>849.3150684931506</x:v>
      </x:c>
      <x:c r="P9" s="44" t="n">
        <x:f>IF($B9&gt;46721,0,$C9*'Assumptions'!$B$6*(46721-MAX($B9,46692)+1)/365)</x:f>
        <x:v>821.917808219178</x:v>
      </x:c>
      <x:c r="Q9" s="44" t="n">
        <x:f>IF($B9&gt;46752,0,$C9*'Assumptions'!$B$6*(46752-MAX($B9,46722)+1)/365)</x:f>
        <x:v>849.3150684931506</x:v>
      </x:c>
      <x:c r="R9" s="44" t="n">
        <x:f>IF($B9&gt;46783,0,$C9*'Assumptions'!$B$6*(46783-MAX($B9,46753)+1)/365)</x:f>
        <x:v>849.3150684931506</x:v>
      </x:c>
      <x:c r="S9" s="44" t="n">
        <x:f>IF($B9&gt;46812,0,$C9*'Assumptions'!$B$6*(46812-MAX($B9,46784)+1)/365)</x:f>
        <x:v>794.5205479452055</x:v>
      </x:c>
      <x:c r="T9" s="44" t="n">
        <x:f>IF($B9&gt;46843,0,$C9*'Assumptions'!$B$6*(46843-MAX($B9,46813)+1)/365)</x:f>
        <x:v>849.3150684931506</x:v>
      </x:c>
      <x:c r="U9" s="44" t="n">
        <x:f>IF($B9&gt;46873,0,$C9*'Assumptions'!$B$6*(46873-MAX($B9,46844)+1)/365)</x:f>
        <x:v>821.917808219178</x:v>
      </x:c>
      <x:c r="V9" s="44" t="n">
        <x:f>IF($B9&gt;46904,0,$C9*'Assumptions'!$B$6*(46904-MAX($B9,46874)+1)/365)</x:f>
        <x:v>849.3150684931506</x:v>
      </x:c>
      <x:c r="W9" s="44" t="n">
        <x:f>IF($B9&gt;46934,0,$C9*'Assumptions'!$B$6*(46934-MAX($B9,46905)+1)/365)</x:f>
        <x:v>821.917808219178</x:v>
      </x:c>
      <x:c r="X9" s="44" t="n">
        <x:f>IF($B9&gt;46965,0,$C9*'Assumptions'!$B$6*(46965-MAX($B9,46935)+1)/365)</x:f>
        <x:v>849.3150684931506</x:v>
      </x:c>
      <x:c r="Y9" s="44" t="n">
        <x:f>IF($B9&gt;46996,0,$C9*'Assumptions'!$B$6*(46996-MAX($B9,46966)+1)/365)</x:f>
        <x:v>849.3150684931506</x:v>
      </x:c>
      <x:c r="Z9" s="44" t="n">
        <x:f>IF($B9&gt;47026,0,$C9*'Assumptions'!$B$6*(47026-MAX($B9,46997)+1)/365)</x:f>
        <x:v>821.917808219178</x:v>
      </x:c>
      <x:c r="AA9" s="44" t="n">
        <x:f>IF($B9&gt;47057,0,$C9*'Assumptions'!$B$6*(47057-MAX($B9,47027)+1)/365)</x:f>
        <x:v>849.3150684931506</x:v>
      </x:c>
      <x:c r="AB9" s="44" t="n">
        <x:f>IF($B9&gt;47087,0,$C9*'Assumptions'!$B$6*(47087-MAX($B9,47058)+1)/365)</x:f>
        <x:v>821.917808219178</x:v>
      </x:c>
      <x:c r="AC9" s="44" t="n">
        <x:f>IF($B9&gt;47118,0,$C9*'Assumptions'!$B$6*(47118-MAX($B9,47088)+1)/365)</x:f>
        <x:v>849.3150684931506</x:v>
      </x:c>
      <x:c r="AD9" s="44" t="n">
        <x:f>IF($B9&gt;47149,0,$C9*'Assumptions'!$B$6*(47149-MAX($B9,47119)+1)/365)</x:f>
        <x:v>849.3150684931506</x:v>
      </x:c>
      <x:c r="AE9" s="44" t="n">
        <x:f>IF($B9&gt;47177,0,$C9*'Assumptions'!$B$6*(47177-MAX($B9,47150)+1)/365)</x:f>
        <x:v>767.1232876712329</x:v>
      </x:c>
      <x:c r="AF9" s="44" t="n">
        <x:f>IF($B9&gt;47208,0,$C9*'Assumptions'!$B$6*(47208-MAX($B9,47178)+1)/365)</x:f>
        <x:v>849.3150684931506</x:v>
      </x:c>
      <x:c r="AG9" s="44" t="n">
        <x:f>IF($B9&gt;47238,0,$C9*'Assumptions'!$B$6*(47238-MAX($B9,47209)+1)/365)</x:f>
        <x:v>821.917808219178</x:v>
      </x:c>
      <x:c r="AH9" s="44" t="n">
        <x:f>IF($B9&gt;47269,0,$C9*'Assumptions'!$B$6*(47269-MAX($B9,47239)+1)/365)</x:f>
        <x:v>849.3150684931506</x:v>
      </x:c>
      <x:c r="AI9" s="44" t="n">
        <x:f>IF($B9&gt;47299,0,$C9*'Assumptions'!$B$6*(47299-MAX($B9,47270)+1)/365)</x:f>
        <x:v>821.917808219178</x:v>
      </x:c>
      <x:c r="AJ9" s="44" t="n">
        <x:f>IF($B9&gt;47330,0,$C9*'Assumptions'!$B$6*(47330-MAX($B9,47300)+1)/365)</x:f>
        <x:v>849.3150684931506</x:v>
      </x:c>
      <x:c r="AK9" s="44" t="n">
        <x:f>IF($B9&gt;47361,0,$C9*'Assumptions'!$B$6*(47361-MAX($B9,47331)+1)/365)</x:f>
        <x:v>849.3150684931506</x:v>
      </x:c>
      <x:c r="AL9" s="44" t="n">
        <x:f>IF($B9&gt;47391,0,$C9*'Assumptions'!$B$6*(47391-MAX($B9,47362)+1)/365)</x:f>
        <x:v>821.917808219178</x:v>
      </x:c>
      <x:c r="AM9" s="44" t="n">
        <x:f>IF($B9&gt;47422,0,$C9*'Assumptions'!$B$6*(47422-MAX($B9,47392)+1)/365)</x:f>
        <x:v>849.3150684931506</x:v>
      </x:c>
      <x:c r="AN9" s="44" t="n">
        <x:f>IF($B9&gt;47452,0,$C9*'Assumptions'!$B$6*(47452-MAX($B9,47423)+1)/365)</x:f>
        <x:v>821.917808219178</x:v>
      </x:c>
      <x:c r="AO9" s="44" t="n">
        <x:f>IF($B9&gt;47483,0,$C9*'Assumptions'!$B$6*(47483-MAX($B9,47453)+1)/365)</x:f>
        <x:v>849.3150684931506</x:v>
      </x:c>
    </x:row>
    <x:row r="10">
      <x:c r="A10" s="43" t="str">
        <x:v>Phase 2 — Tranche 6</x:v>
      </x:c>
      <x:c r="B10" s="48" t="n">
        <x:v>46508</x:v>
      </x:c>
      <x:c r="C10" s="44" t="n">
        <x:f>IF('Revenue Model'!F10*12&gt;=1000000,250000,0)</x:f>
        <x:v>250000</x:v>
      </x:c>
      <x:c r="D10" s="43" t="str">
        <x:v>Milestone-gated Phase 2</x:v>
      </x:c>
      <x:c r="E10" s="44" t="n">
        <x:f>IF($B10&gt;46387,0,$C10*'Assumptions'!$B$6*(46387-MAX($B10,46357)+1)/365)</x:f>
        <x:v>0</x:v>
      </x:c>
      <x:c r="F10" s="44" t="n">
        <x:f>IF($B10&gt;46418,0,$C10*'Assumptions'!$B$6*(46418-MAX($B10,46388)+1)/365)</x:f>
        <x:v>0</x:v>
      </x:c>
      <x:c r="G10" s="44" t="n">
        <x:f>IF($B10&gt;46446,0,$C10*'Assumptions'!$B$6*(46446-MAX($B10,46419)+1)/365)</x:f>
        <x:v>0</x:v>
      </x:c>
      <x:c r="H10" s="44" t="n">
        <x:f>IF($B10&gt;46477,0,$C10*'Assumptions'!$B$6*(46477-MAX($B10,46447)+1)/365)</x:f>
        <x:v>0</x:v>
      </x:c>
      <x:c r="I10" s="44" t="n">
        <x:f>IF($B10&gt;46507,0,$C10*'Assumptions'!$B$6*(46507-MAX($B10,46478)+1)/365)</x:f>
        <x:v>0</x:v>
      </x:c>
      <x:c r="J10" s="44" t="n">
        <x:f>IF($B10&gt;46538,0,$C10*'Assumptions'!$B$6*(46538-MAX($B10,46508)+1)/365)</x:f>
        <x:v>849.3150684931506</x:v>
      </x:c>
      <x:c r="K10" s="44" t="n">
        <x:f>IF($B10&gt;46568,0,$C10*'Assumptions'!$B$6*(46568-MAX($B10,46539)+1)/365)</x:f>
        <x:v>821.917808219178</x:v>
      </x:c>
      <x:c r="L10" s="44" t="n">
        <x:f>IF($B10&gt;46599,0,$C10*'Assumptions'!$B$6*(46599-MAX($B10,46569)+1)/365)</x:f>
        <x:v>849.3150684931506</x:v>
      </x:c>
      <x:c r="M10" s="44" t="n">
        <x:f>IF($B10&gt;46630,0,$C10*'Assumptions'!$B$6*(46630-MAX($B10,46600)+1)/365)</x:f>
        <x:v>849.3150684931506</x:v>
      </x:c>
      <x:c r="N10" s="44" t="n">
        <x:f>IF($B10&gt;46660,0,$C10*'Assumptions'!$B$6*(46660-MAX($B10,46631)+1)/365)</x:f>
        <x:v>821.917808219178</x:v>
      </x:c>
      <x:c r="O10" s="44" t="n">
        <x:f>IF($B10&gt;46691,0,$C10*'Assumptions'!$B$6*(46691-MAX($B10,46661)+1)/365)</x:f>
        <x:v>849.3150684931506</x:v>
      </x:c>
      <x:c r="P10" s="44" t="n">
        <x:f>IF($B10&gt;46721,0,$C10*'Assumptions'!$B$6*(46721-MAX($B10,46692)+1)/365)</x:f>
        <x:v>821.917808219178</x:v>
      </x:c>
      <x:c r="Q10" s="44" t="n">
        <x:f>IF($B10&gt;46752,0,$C10*'Assumptions'!$B$6*(46752-MAX($B10,46722)+1)/365)</x:f>
        <x:v>849.3150684931506</x:v>
      </x:c>
      <x:c r="R10" s="44" t="n">
        <x:f>IF($B10&gt;46783,0,$C10*'Assumptions'!$B$6*(46783-MAX($B10,46753)+1)/365)</x:f>
        <x:v>849.3150684931506</x:v>
      </x:c>
      <x:c r="S10" s="44" t="n">
        <x:f>IF($B10&gt;46812,0,$C10*'Assumptions'!$B$6*(46812-MAX($B10,46784)+1)/365)</x:f>
        <x:v>794.5205479452055</x:v>
      </x:c>
      <x:c r="T10" s="44" t="n">
        <x:f>IF($B10&gt;46843,0,$C10*'Assumptions'!$B$6*(46843-MAX($B10,46813)+1)/365)</x:f>
        <x:v>849.3150684931506</x:v>
      </x:c>
      <x:c r="U10" s="44" t="n">
        <x:f>IF($B10&gt;46873,0,$C10*'Assumptions'!$B$6*(46873-MAX($B10,46844)+1)/365)</x:f>
        <x:v>821.917808219178</x:v>
      </x:c>
      <x:c r="V10" s="44" t="n">
        <x:f>IF($B10&gt;46904,0,$C10*'Assumptions'!$B$6*(46904-MAX($B10,46874)+1)/365)</x:f>
        <x:v>849.3150684931506</x:v>
      </x:c>
      <x:c r="W10" s="44" t="n">
        <x:f>IF($B10&gt;46934,0,$C10*'Assumptions'!$B$6*(46934-MAX($B10,46905)+1)/365)</x:f>
        <x:v>821.917808219178</x:v>
      </x:c>
      <x:c r="X10" s="44" t="n">
        <x:f>IF($B10&gt;46965,0,$C10*'Assumptions'!$B$6*(46965-MAX($B10,46935)+1)/365)</x:f>
        <x:v>849.3150684931506</x:v>
      </x:c>
      <x:c r="Y10" s="44" t="n">
        <x:f>IF($B10&gt;46996,0,$C10*'Assumptions'!$B$6*(46996-MAX($B10,46966)+1)/365)</x:f>
        <x:v>849.3150684931506</x:v>
      </x:c>
      <x:c r="Z10" s="44" t="n">
        <x:f>IF($B10&gt;47026,0,$C10*'Assumptions'!$B$6*(47026-MAX($B10,46997)+1)/365)</x:f>
        <x:v>821.917808219178</x:v>
      </x:c>
      <x:c r="AA10" s="44" t="n">
        <x:f>IF($B10&gt;47057,0,$C10*'Assumptions'!$B$6*(47057-MAX($B10,47027)+1)/365)</x:f>
        <x:v>849.3150684931506</x:v>
      </x:c>
      <x:c r="AB10" s="44" t="n">
        <x:f>IF($B10&gt;47087,0,$C10*'Assumptions'!$B$6*(47087-MAX($B10,47058)+1)/365)</x:f>
        <x:v>821.917808219178</x:v>
      </x:c>
      <x:c r="AC10" s="44" t="n">
        <x:f>IF($B10&gt;47118,0,$C10*'Assumptions'!$B$6*(47118-MAX($B10,47088)+1)/365)</x:f>
        <x:v>849.3150684931506</x:v>
      </x:c>
      <x:c r="AD10" s="44" t="n">
        <x:f>IF($B10&gt;47149,0,$C10*'Assumptions'!$B$6*(47149-MAX($B10,47119)+1)/365)</x:f>
        <x:v>849.3150684931506</x:v>
      </x:c>
      <x:c r="AE10" s="44" t="n">
        <x:f>IF($B10&gt;47177,0,$C10*'Assumptions'!$B$6*(47177-MAX($B10,47150)+1)/365)</x:f>
        <x:v>767.1232876712329</x:v>
      </x:c>
      <x:c r="AF10" s="44" t="n">
        <x:f>IF($B10&gt;47208,0,$C10*'Assumptions'!$B$6*(47208-MAX($B10,47178)+1)/365)</x:f>
        <x:v>849.3150684931506</x:v>
      </x:c>
      <x:c r="AG10" s="44" t="n">
        <x:f>IF($B10&gt;47238,0,$C10*'Assumptions'!$B$6*(47238-MAX($B10,47209)+1)/365)</x:f>
        <x:v>821.917808219178</x:v>
      </x:c>
      <x:c r="AH10" s="44" t="n">
        <x:f>IF($B10&gt;47269,0,$C10*'Assumptions'!$B$6*(47269-MAX($B10,47239)+1)/365)</x:f>
        <x:v>849.3150684931506</x:v>
      </x:c>
      <x:c r="AI10" s="44" t="n">
        <x:f>IF($B10&gt;47299,0,$C10*'Assumptions'!$B$6*(47299-MAX($B10,47270)+1)/365)</x:f>
        <x:v>821.917808219178</x:v>
      </x:c>
      <x:c r="AJ10" s="44" t="n">
        <x:f>IF($B10&gt;47330,0,$C10*'Assumptions'!$B$6*(47330-MAX($B10,47300)+1)/365)</x:f>
        <x:v>849.3150684931506</x:v>
      </x:c>
      <x:c r="AK10" s="44" t="n">
        <x:f>IF($B10&gt;47361,0,$C10*'Assumptions'!$B$6*(47361-MAX($B10,47331)+1)/365)</x:f>
        <x:v>849.3150684931506</x:v>
      </x:c>
      <x:c r="AL10" s="44" t="n">
        <x:f>IF($B10&gt;47391,0,$C10*'Assumptions'!$B$6*(47391-MAX($B10,47362)+1)/365)</x:f>
        <x:v>821.917808219178</x:v>
      </x:c>
      <x:c r="AM10" s="44" t="n">
        <x:f>IF($B10&gt;47422,0,$C10*'Assumptions'!$B$6*(47422-MAX($B10,47392)+1)/365)</x:f>
        <x:v>849.3150684931506</x:v>
      </x:c>
      <x:c r="AN10" s="44" t="n">
        <x:f>IF($B10&gt;47452,0,$C10*'Assumptions'!$B$6*(47452-MAX($B10,47423)+1)/365)</x:f>
        <x:v>821.917808219178</x:v>
      </x:c>
      <x:c r="AO10" s="44" t="n">
        <x:f>IF($B10&gt;47483,0,$C10*'Assumptions'!$B$6*(47483-MAX($B10,47453)+1)/365)</x:f>
        <x:v>849.3150684931506</x:v>
      </x:c>
    </x:row>
    <x:row r="11">
      <x:c r="A11" s="43" t="str">
        <x:v>Phase 2 — Tranche 7</x:v>
      </x:c>
      <x:c r="B11" s="48" t="n">
        <x:v>46539</x:v>
      </x:c>
      <x:c r="C11" s="44" t="n">
        <x:f>IF('Revenue Model'!F10*12&gt;=1000000,250000,0)</x:f>
        <x:v>250000</x:v>
      </x:c>
      <x:c r="D11" s="43" t="str">
        <x:v>Milestone-gated Phase 2</x:v>
      </x:c>
      <x:c r="E11" s="44" t="n">
        <x:f>IF($B11&gt;46387,0,$C11*'Assumptions'!$B$6*(46387-MAX($B11,46357)+1)/365)</x:f>
        <x:v>0</x:v>
      </x:c>
      <x:c r="F11" s="44" t="n">
        <x:f>IF($B11&gt;46418,0,$C11*'Assumptions'!$B$6*(46418-MAX($B11,46388)+1)/365)</x:f>
        <x:v>0</x:v>
      </x:c>
      <x:c r="G11" s="44" t="n">
        <x:f>IF($B11&gt;46446,0,$C11*'Assumptions'!$B$6*(46446-MAX($B11,46419)+1)/365)</x:f>
        <x:v>0</x:v>
      </x:c>
      <x:c r="H11" s="44" t="n">
        <x:f>IF($B11&gt;46477,0,$C11*'Assumptions'!$B$6*(46477-MAX($B11,46447)+1)/365)</x:f>
        <x:v>0</x:v>
      </x:c>
      <x:c r="I11" s="44" t="n">
        <x:f>IF($B11&gt;46507,0,$C11*'Assumptions'!$B$6*(46507-MAX($B11,46478)+1)/365)</x:f>
        <x:v>0</x:v>
      </x:c>
      <x:c r="J11" s="44" t="n">
        <x:f>IF($B11&gt;46538,0,$C11*'Assumptions'!$B$6*(46538-MAX($B11,46508)+1)/365)</x:f>
        <x:v>0</x:v>
      </x:c>
      <x:c r="K11" s="44" t="n">
        <x:f>IF($B11&gt;46568,0,$C11*'Assumptions'!$B$6*(46568-MAX($B11,46539)+1)/365)</x:f>
        <x:v>821.917808219178</x:v>
      </x:c>
      <x:c r="L11" s="44" t="n">
        <x:f>IF($B11&gt;46599,0,$C11*'Assumptions'!$B$6*(46599-MAX($B11,46569)+1)/365)</x:f>
        <x:v>849.3150684931506</x:v>
      </x:c>
      <x:c r="M11" s="44" t="n">
        <x:f>IF($B11&gt;46630,0,$C11*'Assumptions'!$B$6*(46630-MAX($B11,46600)+1)/365)</x:f>
        <x:v>849.3150684931506</x:v>
      </x:c>
      <x:c r="N11" s="44" t="n">
        <x:f>IF($B11&gt;46660,0,$C11*'Assumptions'!$B$6*(46660-MAX($B11,46631)+1)/365)</x:f>
        <x:v>821.917808219178</x:v>
      </x:c>
      <x:c r="O11" s="44" t="n">
        <x:f>IF($B11&gt;46691,0,$C11*'Assumptions'!$B$6*(46691-MAX($B11,46661)+1)/365)</x:f>
        <x:v>849.3150684931506</x:v>
      </x:c>
      <x:c r="P11" s="44" t="n">
        <x:f>IF($B11&gt;46721,0,$C11*'Assumptions'!$B$6*(46721-MAX($B11,46692)+1)/365)</x:f>
        <x:v>821.917808219178</x:v>
      </x:c>
      <x:c r="Q11" s="44" t="n">
        <x:f>IF($B11&gt;46752,0,$C11*'Assumptions'!$B$6*(46752-MAX($B11,46722)+1)/365)</x:f>
        <x:v>849.3150684931506</x:v>
      </x:c>
      <x:c r="R11" s="44" t="n">
        <x:f>IF($B11&gt;46783,0,$C11*'Assumptions'!$B$6*(46783-MAX($B11,46753)+1)/365)</x:f>
        <x:v>849.3150684931506</x:v>
      </x:c>
      <x:c r="S11" s="44" t="n">
        <x:f>IF($B11&gt;46812,0,$C11*'Assumptions'!$B$6*(46812-MAX($B11,46784)+1)/365)</x:f>
        <x:v>794.5205479452055</x:v>
      </x:c>
      <x:c r="T11" s="44" t="n">
        <x:f>IF($B11&gt;46843,0,$C11*'Assumptions'!$B$6*(46843-MAX($B11,46813)+1)/365)</x:f>
        <x:v>849.3150684931506</x:v>
      </x:c>
      <x:c r="U11" s="44" t="n">
        <x:f>IF($B11&gt;46873,0,$C11*'Assumptions'!$B$6*(46873-MAX($B11,46844)+1)/365)</x:f>
        <x:v>821.917808219178</x:v>
      </x:c>
      <x:c r="V11" s="44" t="n">
        <x:f>IF($B11&gt;46904,0,$C11*'Assumptions'!$B$6*(46904-MAX($B11,46874)+1)/365)</x:f>
        <x:v>849.3150684931506</x:v>
      </x:c>
      <x:c r="W11" s="44" t="n">
        <x:f>IF($B11&gt;46934,0,$C11*'Assumptions'!$B$6*(46934-MAX($B11,46905)+1)/365)</x:f>
        <x:v>821.917808219178</x:v>
      </x:c>
      <x:c r="X11" s="44" t="n">
        <x:f>IF($B11&gt;46965,0,$C11*'Assumptions'!$B$6*(46965-MAX($B11,46935)+1)/365)</x:f>
        <x:v>849.3150684931506</x:v>
      </x:c>
      <x:c r="Y11" s="44" t="n">
        <x:f>IF($B11&gt;46996,0,$C11*'Assumptions'!$B$6*(46996-MAX($B11,46966)+1)/365)</x:f>
        <x:v>849.3150684931506</x:v>
      </x:c>
      <x:c r="Z11" s="44" t="n">
        <x:f>IF($B11&gt;47026,0,$C11*'Assumptions'!$B$6*(47026-MAX($B11,46997)+1)/365)</x:f>
        <x:v>821.917808219178</x:v>
      </x:c>
      <x:c r="AA11" s="44" t="n">
        <x:f>IF($B11&gt;47057,0,$C11*'Assumptions'!$B$6*(47057-MAX($B11,47027)+1)/365)</x:f>
        <x:v>849.3150684931506</x:v>
      </x:c>
      <x:c r="AB11" s="44" t="n">
        <x:f>IF($B11&gt;47087,0,$C11*'Assumptions'!$B$6*(47087-MAX($B11,47058)+1)/365)</x:f>
        <x:v>821.917808219178</x:v>
      </x:c>
      <x:c r="AC11" s="44" t="n">
        <x:f>IF($B11&gt;47118,0,$C11*'Assumptions'!$B$6*(47118-MAX($B11,47088)+1)/365)</x:f>
        <x:v>849.3150684931506</x:v>
      </x:c>
      <x:c r="AD11" s="44" t="n">
        <x:f>IF($B11&gt;47149,0,$C11*'Assumptions'!$B$6*(47149-MAX($B11,47119)+1)/365)</x:f>
        <x:v>849.3150684931506</x:v>
      </x:c>
      <x:c r="AE11" s="44" t="n">
        <x:f>IF($B11&gt;47177,0,$C11*'Assumptions'!$B$6*(47177-MAX($B11,47150)+1)/365)</x:f>
        <x:v>767.1232876712329</x:v>
      </x:c>
      <x:c r="AF11" s="44" t="n">
        <x:f>IF($B11&gt;47208,0,$C11*'Assumptions'!$B$6*(47208-MAX($B11,47178)+1)/365)</x:f>
        <x:v>849.3150684931506</x:v>
      </x:c>
      <x:c r="AG11" s="44" t="n">
        <x:f>IF($B11&gt;47238,0,$C11*'Assumptions'!$B$6*(47238-MAX($B11,47209)+1)/365)</x:f>
        <x:v>821.917808219178</x:v>
      </x:c>
      <x:c r="AH11" s="44" t="n">
        <x:f>IF($B11&gt;47269,0,$C11*'Assumptions'!$B$6*(47269-MAX($B11,47239)+1)/365)</x:f>
        <x:v>849.3150684931506</x:v>
      </x:c>
      <x:c r="AI11" s="44" t="n">
        <x:f>IF($B11&gt;47299,0,$C11*'Assumptions'!$B$6*(47299-MAX($B11,47270)+1)/365)</x:f>
        <x:v>821.917808219178</x:v>
      </x:c>
      <x:c r="AJ11" s="44" t="n">
        <x:f>IF($B11&gt;47330,0,$C11*'Assumptions'!$B$6*(47330-MAX($B11,47300)+1)/365)</x:f>
        <x:v>849.3150684931506</x:v>
      </x:c>
      <x:c r="AK11" s="44" t="n">
        <x:f>IF($B11&gt;47361,0,$C11*'Assumptions'!$B$6*(47361-MAX($B11,47331)+1)/365)</x:f>
        <x:v>849.3150684931506</x:v>
      </x:c>
      <x:c r="AL11" s="44" t="n">
        <x:f>IF($B11&gt;47391,0,$C11*'Assumptions'!$B$6*(47391-MAX($B11,47362)+1)/365)</x:f>
        <x:v>821.917808219178</x:v>
      </x:c>
      <x:c r="AM11" s="44" t="n">
        <x:f>IF($B11&gt;47422,0,$C11*'Assumptions'!$B$6*(47422-MAX($B11,47392)+1)/365)</x:f>
        <x:v>849.3150684931506</x:v>
      </x:c>
      <x:c r="AN11" s="44" t="n">
        <x:f>IF($B11&gt;47452,0,$C11*'Assumptions'!$B$6*(47452-MAX($B11,47423)+1)/365)</x:f>
        <x:v>821.917808219178</x:v>
      </x:c>
      <x:c r="AO11" s="44" t="n">
        <x:f>IF($B11&gt;47483,0,$C11*'Assumptions'!$B$6*(47483-MAX($B11,47453)+1)/365)</x:f>
        <x:v>849.3150684931506</x:v>
      </x:c>
    </x:row>
    <x:row r="12">
      <x:c r="A12" s="43" t="str">
        <x:v>Phase 2 — Tranche 8</x:v>
      </x:c>
      <x:c r="B12" s="48" t="n">
        <x:v>46569</x:v>
      </x:c>
      <x:c r="C12" s="44" t="n">
        <x:f>IF('Revenue Model'!F10*12&gt;=1000000,250000,0)</x:f>
        <x:v>250000</x:v>
      </x:c>
      <x:c r="D12" s="43" t="str">
        <x:v>Milestone-gated Phase 2</x:v>
      </x:c>
      <x:c r="E12" s="44" t="n">
        <x:f>IF($B12&gt;46387,0,$C12*'Assumptions'!$B$6*(46387-MAX($B12,46357)+1)/365)</x:f>
        <x:v>0</x:v>
      </x:c>
      <x:c r="F12" s="44" t="n">
        <x:f>IF($B12&gt;46418,0,$C12*'Assumptions'!$B$6*(46418-MAX($B12,46388)+1)/365)</x:f>
        <x:v>0</x:v>
      </x:c>
      <x:c r="G12" s="44" t="n">
        <x:f>IF($B12&gt;46446,0,$C12*'Assumptions'!$B$6*(46446-MAX($B12,46419)+1)/365)</x:f>
        <x:v>0</x:v>
      </x:c>
      <x:c r="H12" s="44" t="n">
        <x:f>IF($B12&gt;46477,0,$C12*'Assumptions'!$B$6*(46477-MAX($B12,46447)+1)/365)</x:f>
        <x:v>0</x:v>
      </x:c>
      <x:c r="I12" s="44" t="n">
        <x:f>IF($B12&gt;46507,0,$C12*'Assumptions'!$B$6*(46507-MAX($B12,46478)+1)/365)</x:f>
        <x:v>0</x:v>
      </x:c>
      <x:c r="J12" s="44" t="n">
        <x:f>IF($B12&gt;46538,0,$C12*'Assumptions'!$B$6*(46538-MAX($B12,46508)+1)/365)</x:f>
        <x:v>0</x:v>
      </x:c>
      <x:c r="K12" s="44" t="n">
        <x:f>IF($B12&gt;46568,0,$C12*'Assumptions'!$B$6*(46568-MAX($B12,46539)+1)/365)</x:f>
        <x:v>0</x:v>
      </x:c>
      <x:c r="L12" s="44" t="n">
        <x:f>IF($B12&gt;46599,0,$C12*'Assumptions'!$B$6*(46599-MAX($B12,46569)+1)/365)</x:f>
        <x:v>849.3150684931506</x:v>
      </x:c>
      <x:c r="M12" s="44" t="n">
        <x:f>IF($B12&gt;46630,0,$C12*'Assumptions'!$B$6*(46630-MAX($B12,46600)+1)/365)</x:f>
        <x:v>849.3150684931506</x:v>
      </x:c>
      <x:c r="N12" s="44" t="n">
        <x:f>IF($B12&gt;46660,0,$C12*'Assumptions'!$B$6*(46660-MAX($B12,46631)+1)/365)</x:f>
        <x:v>821.917808219178</x:v>
      </x:c>
      <x:c r="O12" s="44" t="n">
        <x:f>IF($B12&gt;46691,0,$C12*'Assumptions'!$B$6*(46691-MAX($B12,46661)+1)/365)</x:f>
        <x:v>849.3150684931506</x:v>
      </x:c>
      <x:c r="P12" s="44" t="n">
        <x:f>IF($B12&gt;46721,0,$C12*'Assumptions'!$B$6*(46721-MAX($B12,46692)+1)/365)</x:f>
        <x:v>821.917808219178</x:v>
      </x:c>
      <x:c r="Q12" s="44" t="n">
        <x:f>IF($B12&gt;46752,0,$C12*'Assumptions'!$B$6*(46752-MAX($B12,46722)+1)/365)</x:f>
        <x:v>849.3150684931506</x:v>
      </x:c>
      <x:c r="R12" s="44" t="n">
        <x:f>IF($B12&gt;46783,0,$C12*'Assumptions'!$B$6*(46783-MAX($B12,46753)+1)/365)</x:f>
        <x:v>849.3150684931506</x:v>
      </x:c>
      <x:c r="S12" s="44" t="n">
        <x:f>IF($B12&gt;46812,0,$C12*'Assumptions'!$B$6*(46812-MAX($B12,46784)+1)/365)</x:f>
        <x:v>794.5205479452055</x:v>
      </x:c>
      <x:c r="T12" s="44" t="n">
        <x:f>IF($B12&gt;46843,0,$C12*'Assumptions'!$B$6*(46843-MAX($B12,46813)+1)/365)</x:f>
        <x:v>849.3150684931506</x:v>
      </x:c>
      <x:c r="U12" s="44" t="n">
        <x:f>IF($B12&gt;46873,0,$C12*'Assumptions'!$B$6*(46873-MAX($B12,46844)+1)/365)</x:f>
        <x:v>821.917808219178</x:v>
      </x:c>
      <x:c r="V12" s="44" t="n">
        <x:f>IF($B12&gt;46904,0,$C12*'Assumptions'!$B$6*(46904-MAX($B12,46874)+1)/365)</x:f>
        <x:v>849.3150684931506</x:v>
      </x:c>
      <x:c r="W12" s="44" t="n">
        <x:f>IF($B12&gt;46934,0,$C12*'Assumptions'!$B$6*(46934-MAX($B12,46905)+1)/365)</x:f>
        <x:v>821.917808219178</x:v>
      </x:c>
      <x:c r="X12" s="44" t="n">
        <x:f>IF($B12&gt;46965,0,$C12*'Assumptions'!$B$6*(46965-MAX($B12,46935)+1)/365)</x:f>
        <x:v>849.3150684931506</x:v>
      </x:c>
      <x:c r="Y12" s="44" t="n">
        <x:f>IF($B12&gt;46996,0,$C12*'Assumptions'!$B$6*(46996-MAX($B12,46966)+1)/365)</x:f>
        <x:v>849.3150684931506</x:v>
      </x:c>
      <x:c r="Z12" s="44" t="n">
        <x:f>IF($B12&gt;47026,0,$C12*'Assumptions'!$B$6*(47026-MAX($B12,46997)+1)/365)</x:f>
        <x:v>821.917808219178</x:v>
      </x:c>
      <x:c r="AA12" s="44" t="n">
        <x:f>IF($B12&gt;47057,0,$C12*'Assumptions'!$B$6*(47057-MAX($B12,47027)+1)/365)</x:f>
        <x:v>849.3150684931506</x:v>
      </x:c>
      <x:c r="AB12" s="44" t="n">
        <x:f>IF($B12&gt;47087,0,$C12*'Assumptions'!$B$6*(47087-MAX($B12,47058)+1)/365)</x:f>
        <x:v>821.917808219178</x:v>
      </x:c>
      <x:c r="AC12" s="44" t="n">
        <x:f>IF($B12&gt;47118,0,$C12*'Assumptions'!$B$6*(47118-MAX($B12,47088)+1)/365)</x:f>
        <x:v>849.3150684931506</x:v>
      </x:c>
      <x:c r="AD12" s="44" t="n">
        <x:f>IF($B12&gt;47149,0,$C12*'Assumptions'!$B$6*(47149-MAX($B12,47119)+1)/365)</x:f>
        <x:v>849.3150684931506</x:v>
      </x:c>
      <x:c r="AE12" s="44" t="n">
        <x:f>IF($B12&gt;47177,0,$C12*'Assumptions'!$B$6*(47177-MAX($B12,47150)+1)/365)</x:f>
        <x:v>767.1232876712329</x:v>
      </x:c>
      <x:c r="AF12" s="44" t="n">
        <x:f>IF($B12&gt;47208,0,$C12*'Assumptions'!$B$6*(47208-MAX($B12,47178)+1)/365)</x:f>
        <x:v>849.3150684931506</x:v>
      </x:c>
      <x:c r="AG12" s="44" t="n">
        <x:f>IF($B12&gt;47238,0,$C12*'Assumptions'!$B$6*(47238-MAX($B12,47209)+1)/365)</x:f>
        <x:v>821.917808219178</x:v>
      </x:c>
      <x:c r="AH12" s="44" t="n">
        <x:f>IF($B12&gt;47269,0,$C12*'Assumptions'!$B$6*(47269-MAX($B12,47239)+1)/365)</x:f>
        <x:v>849.3150684931506</x:v>
      </x:c>
      <x:c r="AI12" s="44" t="n">
        <x:f>IF($B12&gt;47299,0,$C12*'Assumptions'!$B$6*(47299-MAX($B12,47270)+1)/365)</x:f>
        <x:v>821.917808219178</x:v>
      </x:c>
      <x:c r="AJ12" s="44" t="n">
        <x:f>IF($B12&gt;47330,0,$C12*'Assumptions'!$B$6*(47330-MAX($B12,47300)+1)/365)</x:f>
        <x:v>849.3150684931506</x:v>
      </x:c>
      <x:c r="AK12" s="44" t="n">
        <x:f>IF($B12&gt;47361,0,$C12*'Assumptions'!$B$6*(47361-MAX($B12,47331)+1)/365)</x:f>
        <x:v>849.3150684931506</x:v>
      </x:c>
      <x:c r="AL12" s="44" t="n">
        <x:f>IF($B12&gt;47391,0,$C12*'Assumptions'!$B$6*(47391-MAX($B12,47362)+1)/365)</x:f>
        <x:v>821.917808219178</x:v>
      </x:c>
      <x:c r="AM12" s="44" t="n">
        <x:f>IF($B12&gt;47422,0,$C12*'Assumptions'!$B$6*(47422-MAX($B12,47392)+1)/365)</x:f>
        <x:v>849.3150684931506</x:v>
      </x:c>
      <x:c r="AN12" s="44" t="n">
        <x:f>IF($B12&gt;47452,0,$C12*'Assumptions'!$B$6*(47452-MAX($B12,47423)+1)/365)</x:f>
        <x:v>821.917808219178</x:v>
      </x:c>
      <x:c r="AO12" s="44" t="n">
        <x:f>IF($B12&gt;47483,0,$C12*'Assumptions'!$B$6*(47483-MAX($B12,47453)+1)/365)</x:f>
        <x:v>849.3150684931506</x:v>
      </x:c>
    </x:row>
    <x:row r="13">
      <x:c r="A13" s="43" t="str">
        <x:v>Phase 2 — Tranche 9</x:v>
      </x:c>
      <x:c r="B13" s="48" t="n">
        <x:v>46600</x:v>
      </x:c>
      <x:c r="C13" s="44" t="n">
        <x:f>IF('Revenue Model'!F10*12&gt;=1000000,250000,0)</x:f>
        <x:v>250000</x:v>
      </x:c>
      <x:c r="D13" s="43" t="str">
        <x:v>Milestone-gated Phase 2</x:v>
      </x:c>
      <x:c r="E13" s="44" t="n">
        <x:f>IF($B13&gt;46387,0,$C13*'Assumptions'!$B$6*(46387-MAX($B13,46357)+1)/365)</x:f>
        <x:v>0</x:v>
      </x:c>
      <x:c r="F13" s="44" t="n">
        <x:f>IF($B13&gt;46418,0,$C13*'Assumptions'!$B$6*(46418-MAX($B13,46388)+1)/365)</x:f>
        <x:v>0</x:v>
      </x:c>
      <x:c r="G13" s="44" t="n">
        <x:f>IF($B13&gt;46446,0,$C13*'Assumptions'!$B$6*(46446-MAX($B13,46419)+1)/365)</x:f>
        <x:v>0</x:v>
      </x:c>
      <x:c r="H13" s="44" t="n">
        <x:f>IF($B13&gt;46477,0,$C13*'Assumptions'!$B$6*(46477-MAX($B13,46447)+1)/365)</x:f>
        <x:v>0</x:v>
      </x:c>
      <x:c r="I13" s="44" t="n">
        <x:f>IF($B13&gt;46507,0,$C13*'Assumptions'!$B$6*(46507-MAX($B13,46478)+1)/365)</x:f>
        <x:v>0</x:v>
      </x:c>
      <x:c r="J13" s="44" t="n">
        <x:f>IF($B13&gt;46538,0,$C13*'Assumptions'!$B$6*(46538-MAX($B13,46508)+1)/365)</x:f>
        <x:v>0</x:v>
      </x:c>
      <x:c r="K13" s="44" t="n">
        <x:f>IF($B13&gt;46568,0,$C13*'Assumptions'!$B$6*(46568-MAX($B13,46539)+1)/365)</x:f>
        <x:v>0</x:v>
      </x:c>
      <x:c r="L13" s="44" t="n">
        <x:f>IF($B13&gt;46599,0,$C13*'Assumptions'!$B$6*(46599-MAX($B13,46569)+1)/365)</x:f>
        <x:v>0</x:v>
      </x:c>
      <x:c r="M13" s="44" t="n">
        <x:f>IF($B13&gt;46630,0,$C13*'Assumptions'!$B$6*(46630-MAX($B13,46600)+1)/365)</x:f>
        <x:v>849.3150684931506</x:v>
      </x:c>
      <x:c r="N13" s="44" t="n">
        <x:f>IF($B13&gt;46660,0,$C13*'Assumptions'!$B$6*(46660-MAX($B13,46631)+1)/365)</x:f>
        <x:v>821.917808219178</x:v>
      </x:c>
      <x:c r="O13" s="44" t="n">
        <x:f>IF($B13&gt;46691,0,$C13*'Assumptions'!$B$6*(46691-MAX($B13,46661)+1)/365)</x:f>
        <x:v>849.3150684931506</x:v>
      </x:c>
      <x:c r="P13" s="44" t="n">
        <x:f>IF($B13&gt;46721,0,$C13*'Assumptions'!$B$6*(46721-MAX($B13,46692)+1)/365)</x:f>
        <x:v>821.917808219178</x:v>
      </x:c>
      <x:c r="Q13" s="44" t="n">
        <x:f>IF($B13&gt;46752,0,$C13*'Assumptions'!$B$6*(46752-MAX($B13,46722)+1)/365)</x:f>
        <x:v>849.3150684931506</x:v>
      </x:c>
      <x:c r="R13" s="44" t="n">
        <x:f>IF($B13&gt;46783,0,$C13*'Assumptions'!$B$6*(46783-MAX($B13,46753)+1)/365)</x:f>
        <x:v>849.3150684931506</x:v>
      </x:c>
      <x:c r="S13" s="44" t="n">
        <x:f>IF($B13&gt;46812,0,$C13*'Assumptions'!$B$6*(46812-MAX($B13,46784)+1)/365)</x:f>
        <x:v>794.5205479452055</x:v>
      </x:c>
      <x:c r="T13" s="44" t="n">
        <x:f>IF($B13&gt;46843,0,$C13*'Assumptions'!$B$6*(46843-MAX($B13,46813)+1)/365)</x:f>
        <x:v>849.3150684931506</x:v>
      </x:c>
      <x:c r="U13" s="44" t="n">
        <x:f>IF($B13&gt;46873,0,$C13*'Assumptions'!$B$6*(46873-MAX($B13,46844)+1)/365)</x:f>
        <x:v>821.917808219178</x:v>
      </x:c>
      <x:c r="V13" s="44" t="n">
        <x:f>IF($B13&gt;46904,0,$C13*'Assumptions'!$B$6*(46904-MAX($B13,46874)+1)/365)</x:f>
        <x:v>849.3150684931506</x:v>
      </x:c>
      <x:c r="W13" s="44" t="n">
        <x:f>IF($B13&gt;46934,0,$C13*'Assumptions'!$B$6*(46934-MAX($B13,46905)+1)/365)</x:f>
        <x:v>821.917808219178</x:v>
      </x:c>
      <x:c r="X13" s="44" t="n">
        <x:f>IF($B13&gt;46965,0,$C13*'Assumptions'!$B$6*(46965-MAX($B13,46935)+1)/365)</x:f>
        <x:v>849.3150684931506</x:v>
      </x:c>
      <x:c r="Y13" s="44" t="n">
        <x:f>IF($B13&gt;46996,0,$C13*'Assumptions'!$B$6*(46996-MAX($B13,46966)+1)/365)</x:f>
        <x:v>849.3150684931506</x:v>
      </x:c>
      <x:c r="Z13" s="44" t="n">
        <x:f>IF($B13&gt;47026,0,$C13*'Assumptions'!$B$6*(47026-MAX($B13,46997)+1)/365)</x:f>
        <x:v>821.917808219178</x:v>
      </x:c>
      <x:c r="AA13" s="44" t="n">
        <x:f>IF($B13&gt;47057,0,$C13*'Assumptions'!$B$6*(47057-MAX($B13,47027)+1)/365)</x:f>
        <x:v>849.3150684931506</x:v>
      </x:c>
      <x:c r="AB13" s="44" t="n">
        <x:f>IF($B13&gt;47087,0,$C13*'Assumptions'!$B$6*(47087-MAX($B13,47058)+1)/365)</x:f>
        <x:v>821.917808219178</x:v>
      </x:c>
      <x:c r="AC13" s="44" t="n">
        <x:f>IF($B13&gt;47118,0,$C13*'Assumptions'!$B$6*(47118-MAX($B13,47088)+1)/365)</x:f>
        <x:v>849.3150684931506</x:v>
      </x:c>
      <x:c r="AD13" s="44" t="n">
        <x:f>IF($B13&gt;47149,0,$C13*'Assumptions'!$B$6*(47149-MAX($B13,47119)+1)/365)</x:f>
        <x:v>849.3150684931506</x:v>
      </x:c>
      <x:c r="AE13" s="44" t="n">
        <x:f>IF($B13&gt;47177,0,$C13*'Assumptions'!$B$6*(47177-MAX($B13,47150)+1)/365)</x:f>
        <x:v>767.1232876712329</x:v>
      </x:c>
      <x:c r="AF13" s="44" t="n">
        <x:f>IF($B13&gt;47208,0,$C13*'Assumptions'!$B$6*(47208-MAX($B13,47178)+1)/365)</x:f>
        <x:v>849.3150684931506</x:v>
      </x:c>
      <x:c r="AG13" s="44" t="n">
        <x:f>IF($B13&gt;47238,0,$C13*'Assumptions'!$B$6*(47238-MAX($B13,47209)+1)/365)</x:f>
        <x:v>821.917808219178</x:v>
      </x:c>
      <x:c r="AH13" s="44" t="n">
        <x:f>IF($B13&gt;47269,0,$C13*'Assumptions'!$B$6*(47269-MAX($B13,47239)+1)/365)</x:f>
        <x:v>849.3150684931506</x:v>
      </x:c>
      <x:c r="AI13" s="44" t="n">
        <x:f>IF($B13&gt;47299,0,$C13*'Assumptions'!$B$6*(47299-MAX($B13,47270)+1)/365)</x:f>
        <x:v>821.917808219178</x:v>
      </x:c>
      <x:c r="AJ13" s="44" t="n">
        <x:f>IF($B13&gt;47330,0,$C13*'Assumptions'!$B$6*(47330-MAX($B13,47300)+1)/365)</x:f>
        <x:v>849.3150684931506</x:v>
      </x:c>
      <x:c r="AK13" s="44" t="n">
        <x:f>IF($B13&gt;47361,0,$C13*'Assumptions'!$B$6*(47361-MAX($B13,47331)+1)/365)</x:f>
        <x:v>849.3150684931506</x:v>
      </x:c>
      <x:c r="AL13" s="44" t="n">
        <x:f>IF($B13&gt;47391,0,$C13*'Assumptions'!$B$6*(47391-MAX($B13,47362)+1)/365)</x:f>
        <x:v>821.917808219178</x:v>
      </x:c>
      <x:c r="AM13" s="44" t="n">
        <x:f>IF($B13&gt;47422,0,$C13*'Assumptions'!$B$6*(47422-MAX($B13,47392)+1)/365)</x:f>
        <x:v>849.3150684931506</x:v>
      </x:c>
      <x:c r="AN13" s="44" t="n">
        <x:f>IF($B13&gt;47452,0,$C13*'Assumptions'!$B$6*(47452-MAX($B13,47423)+1)/365)</x:f>
        <x:v>821.917808219178</x:v>
      </x:c>
      <x:c r="AO13" s="44" t="n">
        <x:f>IF($B13&gt;47483,0,$C13*'Assumptions'!$B$6*(47483-MAX($B13,47453)+1)/365)</x:f>
        <x:v>849.3150684931506</x:v>
      </x:c>
    </x:row>
    <x:row r="14">
      <x:c r="A14" s="43" t="str">
        <x:v>Phase 2 — Tranche 10</x:v>
      </x:c>
      <x:c r="B14" s="48" t="n">
        <x:v>46631</x:v>
      </x:c>
      <x:c r="C14" s="44" t="n">
        <x:f>IF('Revenue Model'!F10*12&gt;=1000000,250000,0)</x:f>
        <x:v>250000</x:v>
      </x:c>
      <x:c r="D14" s="43" t="str">
        <x:v>Milestone-gated Phase 2</x:v>
      </x:c>
      <x:c r="E14" s="44" t="n">
        <x:f>IF($B14&gt;46387,0,$C14*'Assumptions'!$B$6*(46387-MAX($B14,46357)+1)/365)</x:f>
        <x:v>0</x:v>
      </x:c>
      <x:c r="F14" s="44" t="n">
        <x:f>IF($B14&gt;46418,0,$C14*'Assumptions'!$B$6*(46418-MAX($B14,46388)+1)/365)</x:f>
        <x:v>0</x:v>
      </x:c>
      <x:c r="G14" s="44" t="n">
        <x:f>IF($B14&gt;46446,0,$C14*'Assumptions'!$B$6*(46446-MAX($B14,46419)+1)/365)</x:f>
        <x:v>0</x:v>
      </x:c>
      <x:c r="H14" s="44" t="n">
        <x:f>IF($B14&gt;46477,0,$C14*'Assumptions'!$B$6*(46477-MAX($B14,46447)+1)/365)</x:f>
        <x:v>0</x:v>
      </x:c>
      <x:c r="I14" s="44" t="n">
        <x:f>IF($B14&gt;46507,0,$C14*'Assumptions'!$B$6*(46507-MAX($B14,46478)+1)/365)</x:f>
        <x:v>0</x:v>
      </x:c>
      <x:c r="J14" s="44" t="n">
        <x:f>IF($B14&gt;46538,0,$C14*'Assumptions'!$B$6*(46538-MAX($B14,46508)+1)/365)</x:f>
        <x:v>0</x:v>
      </x:c>
      <x:c r="K14" s="44" t="n">
        <x:f>IF($B14&gt;46568,0,$C14*'Assumptions'!$B$6*(46568-MAX($B14,46539)+1)/365)</x:f>
        <x:v>0</x:v>
      </x:c>
      <x:c r="L14" s="44" t="n">
        <x:f>IF($B14&gt;46599,0,$C14*'Assumptions'!$B$6*(46599-MAX($B14,46569)+1)/365)</x:f>
        <x:v>0</x:v>
      </x:c>
      <x:c r="M14" s="44" t="n">
        <x:f>IF($B14&gt;46630,0,$C14*'Assumptions'!$B$6*(46630-MAX($B14,46600)+1)/365)</x:f>
        <x:v>0</x:v>
      </x:c>
      <x:c r="N14" s="44" t="n">
        <x:f>IF($B14&gt;46660,0,$C14*'Assumptions'!$B$6*(46660-MAX($B14,46631)+1)/365)</x:f>
        <x:v>821.917808219178</x:v>
      </x:c>
      <x:c r="O14" s="44" t="n">
        <x:f>IF($B14&gt;46691,0,$C14*'Assumptions'!$B$6*(46691-MAX($B14,46661)+1)/365)</x:f>
        <x:v>849.3150684931506</x:v>
      </x:c>
      <x:c r="P14" s="44" t="n">
        <x:f>IF($B14&gt;46721,0,$C14*'Assumptions'!$B$6*(46721-MAX($B14,46692)+1)/365)</x:f>
        <x:v>821.917808219178</x:v>
      </x:c>
      <x:c r="Q14" s="44" t="n">
        <x:f>IF($B14&gt;46752,0,$C14*'Assumptions'!$B$6*(46752-MAX($B14,46722)+1)/365)</x:f>
        <x:v>849.3150684931506</x:v>
      </x:c>
      <x:c r="R14" s="44" t="n">
        <x:f>IF($B14&gt;46783,0,$C14*'Assumptions'!$B$6*(46783-MAX($B14,46753)+1)/365)</x:f>
        <x:v>849.3150684931506</x:v>
      </x:c>
      <x:c r="S14" s="44" t="n">
        <x:f>IF($B14&gt;46812,0,$C14*'Assumptions'!$B$6*(46812-MAX($B14,46784)+1)/365)</x:f>
        <x:v>794.5205479452055</x:v>
      </x:c>
      <x:c r="T14" s="44" t="n">
        <x:f>IF($B14&gt;46843,0,$C14*'Assumptions'!$B$6*(46843-MAX($B14,46813)+1)/365)</x:f>
        <x:v>849.3150684931506</x:v>
      </x:c>
      <x:c r="U14" s="44" t="n">
        <x:f>IF($B14&gt;46873,0,$C14*'Assumptions'!$B$6*(46873-MAX($B14,46844)+1)/365)</x:f>
        <x:v>821.917808219178</x:v>
      </x:c>
      <x:c r="V14" s="44" t="n">
        <x:f>IF($B14&gt;46904,0,$C14*'Assumptions'!$B$6*(46904-MAX($B14,46874)+1)/365)</x:f>
        <x:v>849.3150684931506</x:v>
      </x:c>
      <x:c r="W14" s="44" t="n">
        <x:f>IF($B14&gt;46934,0,$C14*'Assumptions'!$B$6*(46934-MAX($B14,46905)+1)/365)</x:f>
        <x:v>821.917808219178</x:v>
      </x:c>
      <x:c r="X14" s="44" t="n">
        <x:f>IF($B14&gt;46965,0,$C14*'Assumptions'!$B$6*(46965-MAX($B14,46935)+1)/365)</x:f>
        <x:v>849.3150684931506</x:v>
      </x:c>
      <x:c r="Y14" s="44" t="n">
        <x:f>IF($B14&gt;46996,0,$C14*'Assumptions'!$B$6*(46996-MAX($B14,46966)+1)/365)</x:f>
        <x:v>849.3150684931506</x:v>
      </x:c>
      <x:c r="Z14" s="44" t="n">
        <x:f>IF($B14&gt;47026,0,$C14*'Assumptions'!$B$6*(47026-MAX($B14,46997)+1)/365)</x:f>
        <x:v>821.917808219178</x:v>
      </x:c>
      <x:c r="AA14" s="44" t="n">
        <x:f>IF($B14&gt;47057,0,$C14*'Assumptions'!$B$6*(47057-MAX($B14,47027)+1)/365)</x:f>
        <x:v>849.3150684931506</x:v>
      </x:c>
      <x:c r="AB14" s="44" t="n">
        <x:f>IF($B14&gt;47087,0,$C14*'Assumptions'!$B$6*(47087-MAX($B14,47058)+1)/365)</x:f>
        <x:v>821.917808219178</x:v>
      </x:c>
      <x:c r="AC14" s="44" t="n">
        <x:f>IF($B14&gt;47118,0,$C14*'Assumptions'!$B$6*(47118-MAX($B14,47088)+1)/365)</x:f>
        <x:v>849.3150684931506</x:v>
      </x:c>
      <x:c r="AD14" s="44" t="n">
        <x:f>IF($B14&gt;47149,0,$C14*'Assumptions'!$B$6*(47149-MAX($B14,47119)+1)/365)</x:f>
        <x:v>849.3150684931506</x:v>
      </x:c>
      <x:c r="AE14" s="44" t="n">
        <x:f>IF($B14&gt;47177,0,$C14*'Assumptions'!$B$6*(47177-MAX($B14,47150)+1)/365)</x:f>
        <x:v>767.1232876712329</x:v>
      </x:c>
      <x:c r="AF14" s="44" t="n">
        <x:f>IF($B14&gt;47208,0,$C14*'Assumptions'!$B$6*(47208-MAX($B14,47178)+1)/365)</x:f>
        <x:v>849.3150684931506</x:v>
      </x:c>
      <x:c r="AG14" s="44" t="n">
        <x:f>IF($B14&gt;47238,0,$C14*'Assumptions'!$B$6*(47238-MAX($B14,47209)+1)/365)</x:f>
        <x:v>821.917808219178</x:v>
      </x:c>
      <x:c r="AH14" s="44" t="n">
        <x:f>IF($B14&gt;47269,0,$C14*'Assumptions'!$B$6*(47269-MAX($B14,47239)+1)/365)</x:f>
        <x:v>849.3150684931506</x:v>
      </x:c>
      <x:c r="AI14" s="44" t="n">
        <x:f>IF($B14&gt;47299,0,$C14*'Assumptions'!$B$6*(47299-MAX($B14,47270)+1)/365)</x:f>
        <x:v>821.917808219178</x:v>
      </x:c>
      <x:c r="AJ14" s="44" t="n">
        <x:f>IF($B14&gt;47330,0,$C14*'Assumptions'!$B$6*(47330-MAX($B14,47300)+1)/365)</x:f>
        <x:v>849.3150684931506</x:v>
      </x:c>
      <x:c r="AK14" s="44" t="n">
        <x:f>IF($B14&gt;47361,0,$C14*'Assumptions'!$B$6*(47361-MAX($B14,47331)+1)/365)</x:f>
        <x:v>849.3150684931506</x:v>
      </x:c>
      <x:c r="AL14" s="44" t="n">
        <x:f>IF($B14&gt;47391,0,$C14*'Assumptions'!$B$6*(47391-MAX($B14,47362)+1)/365)</x:f>
        <x:v>821.917808219178</x:v>
      </x:c>
      <x:c r="AM14" s="44" t="n">
        <x:f>IF($B14&gt;47422,0,$C14*'Assumptions'!$B$6*(47422-MAX($B14,47392)+1)/365)</x:f>
        <x:v>849.3150684931506</x:v>
      </x:c>
      <x:c r="AN14" s="44" t="n">
        <x:f>IF($B14&gt;47452,0,$C14*'Assumptions'!$B$6*(47452-MAX($B14,47423)+1)/365)</x:f>
        <x:v>821.917808219178</x:v>
      </x:c>
      <x:c r="AO14" s="44" t="n">
        <x:f>IF($B14&gt;47483,0,$C14*'Assumptions'!$B$6*(47483-MAX($B14,47453)+1)/365)</x:f>
        <x:v>849.3150684931506</x:v>
      </x:c>
    </x:row>
    <x:row r="15">
      <x:c r="A15" s="43" t="str">
        <x:v>Phase 2 — Tranche 11</x:v>
      </x:c>
      <x:c r="B15" s="48" t="n">
        <x:v>46661</x:v>
      </x:c>
      <x:c r="C15" s="44" t="n">
        <x:f>IF('Revenue Model'!F10*12&gt;=1000000,250000,0)</x:f>
        <x:v>250000</x:v>
      </x:c>
      <x:c r="D15" s="43" t="str">
        <x:v>Milestone-gated Phase 2</x:v>
      </x:c>
      <x:c r="E15" s="44" t="n">
        <x:f>IF($B15&gt;46387,0,$C15*'Assumptions'!$B$6*(46387-MAX($B15,46357)+1)/365)</x:f>
        <x:v>0</x:v>
      </x:c>
      <x:c r="F15" s="44" t="n">
        <x:f>IF($B15&gt;46418,0,$C15*'Assumptions'!$B$6*(46418-MAX($B15,46388)+1)/365)</x:f>
        <x:v>0</x:v>
      </x:c>
      <x:c r="G15" s="44" t="n">
        <x:f>IF($B15&gt;46446,0,$C15*'Assumptions'!$B$6*(46446-MAX($B15,46419)+1)/365)</x:f>
        <x:v>0</x:v>
      </x:c>
      <x:c r="H15" s="44" t="n">
        <x:f>IF($B15&gt;46477,0,$C15*'Assumptions'!$B$6*(46477-MAX($B15,46447)+1)/365)</x:f>
        <x:v>0</x:v>
      </x:c>
      <x:c r="I15" s="44" t="n">
        <x:f>IF($B15&gt;46507,0,$C15*'Assumptions'!$B$6*(46507-MAX($B15,46478)+1)/365)</x:f>
        <x:v>0</x:v>
      </x:c>
      <x:c r="J15" s="44" t="n">
        <x:f>IF($B15&gt;46538,0,$C15*'Assumptions'!$B$6*(46538-MAX($B15,46508)+1)/365)</x:f>
        <x:v>0</x:v>
      </x:c>
      <x:c r="K15" s="44" t="n">
        <x:f>IF($B15&gt;46568,0,$C15*'Assumptions'!$B$6*(46568-MAX($B15,46539)+1)/365)</x:f>
        <x:v>0</x:v>
      </x:c>
      <x:c r="L15" s="44" t="n">
        <x:f>IF($B15&gt;46599,0,$C15*'Assumptions'!$B$6*(46599-MAX($B15,46569)+1)/365)</x:f>
        <x:v>0</x:v>
      </x:c>
      <x:c r="M15" s="44" t="n">
        <x:f>IF($B15&gt;46630,0,$C15*'Assumptions'!$B$6*(46630-MAX($B15,46600)+1)/365)</x:f>
        <x:v>0</x:v>
      </x:c>
      <x:c r="N15" s="44" t="n">
        <x:f>IF($B15&gt;46660,0,$C15*'Assumptions'!$B$6*(46660-MAX($B15,46631)+1)/365)</x:f>
        <x:v>0</x:v>
      </x:c>
      <x:c r="O15" s="44" t="n">
        <x:f>IF($B15&gt;46691,0,$C15*'Assumptions'!$B$6*(46691-MAX($B15,46661)+1)/365)</x:f>
        <x:v>849.3150684931506</x:v>
      </x:c>
      <x:c r="P15" s="44" t="n">
        <x:f>IF($B15&gt;46721,0,$C15*'Assumptions'!$B$6*(46721-MAX($B15,46692)+1)/365)</x:f>
        <x:v>821.917808219178</x:v>
      </x:c>
      <x:c r="Q15" s="44" t="n">
        <x:f>IF($B15&gt;46752,0,$C15*'Assumptions'!$B$6*(46752-MAX($B15,46722)+1)/365)</x:f>
        <x:v>849.3150684931506</x:v>
      </x:c>
      <x:c r="R15" s="44" t="n">
        <x:f>IF($B15&gt;46783,0,$C15*'Assumptions'!$B$6*(46783-MAX($B15,46753)+1)/365)</x:f>
        <x:v>849.3150684931506</x:v>
      </x:c>
      <x:c r="S15" s="44" t="n">
        <x:f>IF($B15&gt;46812,0,$C15*'Assumptions'!$B$6*(46812-MAX($B15,46784)+1)/365)</x:f>
        <x:v>794.5205479452055</x:v>
      </x:c>
      <x:c r="T15" s="44" t="n">
        <x:f>IF($B15&gt;46843,0,$C15*'Assumptions'!$B$6*(46843-MAX($B15,46813)+1)/365)</x:f>
        <x:v>849.3150684931506</x:v>
      </x:c>
      <x:c r="U15" s="44" t="n">
        <x:f>IF($B15&gt;46873,0,$C15*'Assumptions'!$B$6*(46873-MAX($B15,46844)+1)/365)</x:f>
        <x:v>821.917808219178</x:v>
      </x:c>
      <x:c r="V15" s="44" t="n">
        <x:f>IF($B15&gt;46904,0,$C15*'Assumptions'!$B$6*(46904-MAX($B15,46874)+1)/365)</x:f>
        <x:v>849.3150684931506</x:v>
      </x:c>
      <x:c r="W15" s="44" t="n">
        <x:f>IF($B15&gt;46934,0,$C15*'Assumptions'!$B$6*(46934-MAX($B15,46905)+1)/365)</x:f>
        <x:v>821.917808219178</x:v>
      </x:c>
      <x:c r="X15" s="44" t="n">
        <x:f>IF($B15&gt;46965,0,$C15*'Assumptions'!$B$6*(46965-MAX($B15,46935)+1)/365)</x:f>
        <x:v>849.3150684931506</x:v>
      </x:c>
      <x:c r="Y15" s="44" t="n">
        <x:f>IF($B15&gt;46996,0,$C15*'Assumptions'!$B$6*(46996-MAX($B15,46966)+1)/365)</x:f>
        <x:v>849.3150684931506</x:v>
      </x:c>
      <x:c r="Z15" s="44" t="n">
        <x:f>IF($B15&gt;47026,0,$C15*'Assumptions'!$B$6*(47026-MAX($B15,46997)+1)/365)</x:f>
        <x:v>821.917808219178</x:v>
      </x:c>
      <x:c r="AA15" s="44" t="n">
        <x:f>IF($B15&gt;47057,0,$C15*'Assumptions'!$B$6*(47057-MAX($B15,47027)+1)/365)</x:f>
        <x:v>849.3150684931506</x:v>
      </x:c>
      <x:c r="AB15" s="44" t="n">
        <x:f>IF($B15&gt;47087,0,$C15*'Assumptions'!$B$6*(47087-MAX($B15,47058)+1)/365)</x:f>
        <x:v>821.917808219178</x:v>
      </x:c>
      <x:c r="AC15" s="44" t="n">
        <x:f>IF($B15&gt;47118,0,$C15*'Assumptions'!$B$6*(47118-MAX($B15,47088)+1)/365)</x:f>
        <x:v>849.3150684931506</x:v>
      </x:c>
      <x:c r="AD15" s="44" t="n">
        <x:f>IF($B15&gt;47149,0,$C15*'Assumptions'!$B$6*(47149-MAX($B15,47119)+1)/365)</x:f>
        <x:v>849.3150684931506</x:v>
      </x:c>
      <x:c r="AE15" s="44" t="n">
        <x:f>IF($B15&gt;47177,0,$C15*'Assumptions'!$B$6*(47177-MAX($B15,47150)+1)/365)</x:f>
        <x:v>767.1232876712329</x:v>
      </x:c>
      <x:c r="AF15" s="44" t="n">
        <x:f>IF($B15&gt;47208,0,$C15*'Assumptions'!$B$6*(47208-MAX($B15,47178)+1)/365)</x:f>
        <x:v>849.3150684931506</x:v>
      </x:c>
      <x:c r="AG15" s="44" t="n">
        <x:f>IF($B15&gt;47238,0,$C15*'Assumptions'!$B$6*(47238-MAX($B15,47209)+1)/365)</x:f>
        <x:v>821.917808219178</x:v>
      </x:c>
      <x:c r="AH15" s="44" t="n">
        <x:f>IF($B15&gt;47269,0,$C15*'Assumptions'!$B$6*(47269-MAX($B15,47239)+1)/365)</x:f>
        <x:v>849.3150684931506</x:v>
      </x:c>
      <x:c r="AI15" s="44" t="n">
        <x:f>IF($B15&gt;47299,0,$C15*'Assumptions'!$B$6*(47299-MAX($B15,47270)+1)/365)</x:f>
        <x:v>821.917808219178</x:v>
      </x:c>
      <x:c r="AJ15" s="44" t="n">
        <x:f>IF($B15&gt;47330,0,$C15*'Assumptions'!$B$6*(47330-MAX($B15,47300)+1)/365)</x:f>
        <x:v>849.3150684931506</x:v>
      </x:c>
      <x:c r="AK15" s="44" t="n">
        <x:f>IF($B15&gt;47361,0,$C15*'Assumptions'!$B$6*(47361-MAX($B15,47331)+1)/365)</x:f>
        <x:v>849.3150684931506</x:v>
      </x:c>
      <x:c r="AL15" s="44" t="n">
        <x:f>IF($B15&gt;47391,0,$C15*'Assumptions'!$B$6*(47391-MAX($B15,47362)+1)/365)</x:f>
        <x:v>821.917808219178</x:v>
      </x:c>
      <x:c r="AM15" s="44" t="n">
        <x:f>IF($B15&gt;47422,0,$C15*'Assumptions'!$B$6*(47422-MAX($B15,47392)+1)/365)</x:f>
        <x:v>849.3150684931506</x:v>
      </x:c>
      <x:c r="AN15" s="44" t="n">
        <x:f>IF($B15&gt;47452,0,$C15*'Assumptions'!$B$6*(47452-MAX($B15,47423)+1)/365)</x:f>
        <x:v>821.917808219178</x:v>
      </x:c>
      <x:c r="AO15" s="44" t="n">
        <x:f>IF($B15&gt;47483,0,$C15*'Assumptions'!$B$6*(47483-MAX($B15,47453)+1)/365)</x:f>
        <x:v>849.3150684931506</x:v>
      </x:c>
    </x:row>
    <x:row r="16">
      <x:c r="A16" s="43" t="str">
        <x:v>Phase 2 — Tranche 12</x:v>
      </x:c>
      <x:c r="B16" s="48" t="n">
        <x:v>46692</x:v>
      </x:c>
      <x:c r="C16" s="44" t="n">
        <x:f>IF('Revenue Model'!F10*12&gt;=1000000,250000,0)</x:f>
        <x:v>250000</x:v>
      </x:c>
      <x:c r="D16" s="43" t="str">
        <x:v>Milestone-gated Phase 2</x:v>
      </x:c>
      <x:c r="E16" s="44" t="n">
        <x:f>IF($B16&gt;46387,0,$C16*'Assumptions'!$B$6*(46387-MAX($B16,46357)+1)/365)</x:f>
        <x:v>0</x:v>
      </x:c>
      <x:c r="F16" s="44" t="n">
        <x:f>IF($B16&gt;46418,0,$C16*'Assumptions'!$B$6*(46418-MAX($B16,46388)+1)/365)</x:f>
        <x:v>0</x:v>
      </x:c>
      <x:c r="G16" s="44" t="n">
        <x:f>IF($B16&gt;46446,0,$C16*'Assumptions'!$B$6*(46446-MAX($B16,46419)+1)/365)</x:f>
        <x:v>0</x:v>
      </x:c>
      <x:c r="H16" s="44" t="n">
        <x:f>IF($B16&gt;46477,0,$C16*'Assumptions'!$B$6*(46477-MAX($B16,46447)+1)/365)</x:f>
        <x:v>0</x:v>
      </x:c>
      <x:c r="I16" s="44" t="n">
        <x:f>IF($B16&gt;46507,0,$C16*'Assumptions'!$B$6*(46507-MAX($B16,46478)+1)/365)</x:f>
        <x:v>0</x:v>
      </x:c>
      <x:c r="J16" s="44" t="n">
        <x:f>IF($B16&gt;46538,0,$C16*'Assumptions'!$B$6*(46538-MAX($B16,46508)+1)/365)</x:f>
        <x:v>0</x:v>
      </x:c>
      <x:c r="K16" s="44" t="n">
        <x:f>IF($B16&gt;46568,0,$C16*'Assumptions'!$B$6*(46568-MAX($B16,46539)+1)/365)</x:f>
        <x:v>0</x:v>
      </x:c>
      <x:c r="L16" s="44" t="n">
        <x:f>IF($B16&gt;46599,0,$C16*'Assumptions'!$B$6*(46599-MAX($B16,46569)+1)/365)</x:f>
        <x:v>0</x:v>
      </x:c>
      <x:c r="M16" s="44" t="n">
        <x:f>IF($B16&gt;46630,0,$C16*'Assumptions'!$B$6*(46630-MAX($B16,46600)+1)/365)</x:f>
        <x:v>0</x:v>
      </x:c>
      <x:c r="N16" s="44" t="n">
        <x:f>IF($B16&gt;46660,0,$C16*'Assumptions'!$B$6*(46660-MAX($B16,46631)+1)/365)</x:f>
        <x:v>0</x:v>
      </x:c>
      <x:c r="O16" s="44" t="n">
        <x:f>IF($B16&gt;46691,0,$C16*'Assumptions'!$B$6*(46691-MAX($B16,46661)+1)/365)</x:f>
        <x:v>0</x:v>
      </x:c>
      <x:c r="P16" s="44" t="n">
        <x:f>IF($B16&gt;46721,0,$C16*'Assumptions'!$B$6*(46721-MAX($B16,46692)+1)/365)</x:f>
        <x:v>821.917808219178</x:v>
      </x:c>
      <x:c r="Q16" s="44" t="n">
        <x:f>IF($B16&gt;46752,0,$C16*'Assumptions'!$B$6*(46752-MAX($B16,46722)+1)/365)</x:f>
        <x:v>849.3150684931506</x:v>
      </x:c>
      <x:c r="R16" s="44" t="n">
        <x:f>IF($B16&gt;46783,0,$C16*'Assumptions'!$B$6*(46783-MAX($B16,46753)+1)/365)</x:f>
        <x:v>849.3150684931506</x:v>
      </x:c>
      <x:c r="S16" s="44" t="n">
        <x:f>IF($B16&gt;46812,0,$C16*'Assumptions'!$B$6*(46812-MAX($B16,46784)+1)/365)</x:f>
        <x:v>794.5205479452055</x:v>
      </x:c>
      <x:c r="T16" s="44" t="n">
        <x:f>IF($B16&gt;46843,0,$C16*'Assumptions'!$B$6*(46843-MAX($B16,46813)+1)/365)</x:f>
        <x:v>849.3150684931506</x:v>
      </x:c>
      <x:c r="U16" s="44" t="n">
        <x:f>IF($B16&gt;46873,0,$C16*'Assumptions'!$B$6*(46873-MAX($B16,46844)+1)/365)</x:f>
        <x:v>821.917808219178</x:v>
      </x:c>
      <x:c r="V16" s="44" t="n">
        <x:f>IF($B16&gt;46904,0,$C16*'Assumptions'!$B$6*(46904-MAX($B16,46874)+1)/365)</x:f>
        <x:v>849.3150684931506</x:v>
      </x:c>
      <x:c r="W16" s="44" t="n">
        <x:f>IF($B16&gt;46934,0,$C16*'Assumptions'!$B$6*(46934-MAX($B16,46905)+1)/365)</x:f>
        <x:v>821.917808219178</x:v>
      </x:c>
      <x:c r="X16" s="44" t="n">
        <x:f>IF($B16&gt;46965,0,$C16*'Assumptions'!$B$6*(46965-MAX($B16,46935)+1)/365)</x:f>
        <x:v>849.3150684931506</x:v>
      </x:c>
      <x:c r="Y16" s="44" t="n">
        <x:f>IF($B16&gt;46996,0,$C16*'Assumptions'!$B$6*(46996-MAX($B16,46966)+1)/365)</x:f>
        <x:v>849.3150684931506</x:v>
      </x:c>
      <x:c r="Z16" s="44" t="n">
        <x:f>IF($B16&gt;47026,0,$C16*'Assumptions'!$B$6*(47026-MAX($B16,46997)+1)/365)</x:f>
        <x:v>821.917808219178</x:v>
      </x:c>
      <x:c r="AA16" s="44" t="n">
        <x:f>IF($B16&gt;47057,0,$C16*'Assumptions'!$B$6*(47057-MAX($B16,47027)+1)/365)</x:f>
        <x:v>849.3150684931506</x:v>
      </x:c>
      <x:c r="AB16" s="44" t="n">
        <x:f>IF($B16&gt;47087,0,$C16*'Assumptions'!$B$6*(47087-MAX($B16,47058)+1)/365)</x:f>
        <x:v>821.917808219178</x:v>
      </x:c>
      <x:c r="AC16" s="44" t="n">
        <x:f>IF($B16&gt;47118,0,$C16*'Assumptions'!$B$6*(47118-MAX($B16,47088)+1)/365)</x:f>
        <x:v>849.3150684931506</x:v>
      </x:c>
      <x:c r="AD16" s="44" t="n">
        <x:f>IF($B16&gt;47149,0,$C16*'Assumptions'!$B$6*(47149-MAX($B16,47119)+1)/365)</x:f>
        <x:v>849.3150684931506</x:v>
      </x:c>
      <x:c r="AE16" s="44" t="n">
        <x:f>IF($B16&gt;47177,0,$C16*'Assumptions'!$B$6*(47177-MAX($B16,47150)+1)/365)</x:f>
        <x:v>767.1232876712329</x:v>
      </x:c>
      <x:c r="AF16" s="44" t="n">
        <x:f>IF($B16&gt;47208,0,$C16*'Assumptions'!$B$6*(47208-MAX($B16,47178)+1)/365)</x:f>
        <x:v>849.3150684931506</x:v>
      </x:c>
      <x:c r="AG16" s="44" t="n">
        <x:f>IF($B16&gt;47238,0,$C16*'Assumptions'!$B$6*(47238-MAX($B16,47209)+1)/365)</x:f>
        <x:v>821.917808219178</x:v>
      </x:c>
      <x:c r="AH16" s="44" t="n">
        <x:f>IF($B16&gt;47269,0,$C16*'Assumptions'!$B$6*(47269-MAX($B16,47239)+1)/365)</x:f>
        <x:v>849.3150684931506</x:v>
      </x:c>
      <x:c r="AI16" s="44" t="n">
        <x:f>IF($B16&gt;47299,0,$C16*'Assumptions'!$B$6*(47299-MAX($B16,47270)+1)/365)</x:f>
        <x:v>821.917808219178</x:v>
      </x:c>
      <x:c r="AJ16" s="44" t="n">
        <x:f>IF($B16&gt;47330,0,$C16*'Assumptions'!$B$6*(47330-MAX($B16,47300)+1)/365)</x:f>
        <x:v>849.3150684931506</x:v>
      </x:c>
      <x:c r="AK16" s="44" t="n">
        <x:f>IF($B16&gt;47361,0,$C16*'Assumptions'!$B$6*(47361-MAX($B16,47331)+1)/365)</x:f>
        <x:v>849.3150684931506</x:v>
      </x:c>
      <x:c r="AL16" s="44" t="n">
        <x:f>IF($B16&gt;47391,0,$C16*'Assumptions'!$B$6*(47391-MAX($B16,47362)+1)/365)</x:f>
        <x:v>821.917808219178</x:v>
      </x:c>
      <x:c r="AM16" s="44" t="n">
        <x:f>IF($B16&gt;47422,0,$C16*'Assumptions'!$B$6*(47422-MAX($B16,47392)+1)/365)</x:f>
        <x:v>849.3150684931506</x:v>
      </x:c>
      <x:c r="AN16" s="44" t="n">
        <x:f>IF($B16&gt;47452,0,$C16*'Assumptions'!$B$6*(47452-MAX($B16,47423)+1)/365)</x:f>
        <x:v>821.917808219178</x:v>
      </x:c>
      <x:c r="AO16" s="44" t="n">
        <x:f>IF($B16&gt;47483,0,$C16*'Assumptions'!$B$6*(47483-MAX($B16,47453)+1)/365)</x:f>
        <x:v>849.3150684931506</x:v>
      </x:c>
    </x:row>
    <x:row r="17">
      <x:c r="A17" s="43"/>
      <x:c r="B17" s="43"/>
      <x:c r="C17" s="43"/>
      <x:c r="D17" s="43"/>
      <x:c r="E17" s="44"/>
      <x:c r="F17" s="44"/>
      <x:c r="G17" s="44"/>
      <x:c r="H17" s="44"/>
      <x:c r="I17" s="44"/>
      <x:c r="J17" s="44"/>
      <x:c r="K17" s="44"/>
      <x:c r="L17" s="44"/>
      <x:c r="M17" s="44"/>
      <x:c r="N17" s="44"/>
      <x:c r="O17" s="44"/>
      <x:c r="P17" s="44"/>
      <x:c r="Q17" s="44"/>
      <x:c r="R17" s="44"/>
      <x:c r="S17" s="44"/>
      <x:c r="T17" s="44"/>
      <x:c r="U17" s="44"/>
      <x:c r="V17" s="44"/>
      <x:c r="W17" s="44"/>
      <x:c r="X17" s="44"/>
      <x:c r="Y17" s="44"/>
      <x:c r="Z17" s="44"/>
      <x:c r="AA17" s="44"/>
      <x:c r="AB17" s="44"/>
      <x:c r="AC17" s="44"/>
      <x:c r="AD17" s="44"/>
      <x:c r="AE17" s="44"/>
      <x:c r="AF17" s="44"/>
      <x:c r="AG17" s="44"/>
      <x:c r="AH17" s="44"/>
      <x:c r="AI17" s="44"/>
      <x:c r="AJ17" s="44"/>
      <x:c r="AK17" s="44"/>
      <x:c r="AL17" s="44"/>
      <x:c r="AM17" s="44"/>
      <x:c r="AN17" s="44"/>
      <x:c r="AO17" s="44"/>
    </x:row>
    <x:row r="18">
      <x:c r="A18" s="51" t="str">
        <x:v>Cash coupon expense accrued (4%)</x:v>
      </x:c>
      <x:c r="B18" s="51"/>
      <x:c r="C18" s="51"/>
      <x:c r="D18" s="51"/>
      <x:c r="E18" s="52" t="n">
        <x:f>SUM(E5:E16)</x:f>
        <x:v>509.5890410958904</x:v>
      </x:c>
      <x:c r="F18" s="52" t="n">
        <x:f>SUM(F5:F16)</x:f>
        <x:v>1528.7671232876712</x:v>
      </x:c>
      <x:c r="G18" s="52" t="n">
        <x:f>SUM(G5:G16)</x:f>
        <x:v>2301.3698630136987</x:v>
      </x:c>
      <x:c r="H18" s="52" t="n">
        <x:f>SUM(H5:H16)</x:f>
        <x:v>3397.2602739726026</x:v>
      </x:c>
      <x:c r="I18" s="52" t="n">
        <x:f>SUM(I5:I16)</x:f>
        <x:v>4109.58904109589</x:v>
      </x:c>
      <x:c r="J18" s="52" t="n">
        <x:f>SUM(J5:J16)</x:f>
        <x:v>5095.890410958904</x:v>
      </x:c>
      <x:c r="K18" s="52" t="n">
        <x:f>SUM(K5:K16)</x:f>
        <x:v>5753.424657534247</x:v>
      </x:c>
      <x:c r="L18" s="52" t="n">
        <x:f>SUM(L5:L16)</x:f>
        <x:v>6794.520547945205</x:v>
      </x:c>
      <x:c r="M18" s="52" t="n">
        <x:f>SUM(M5:M16)</x:f>
        <x:v>7643.835616438356</x:v>
      </x:c>
      <x:c r="N18" s="52" t="n">
        <x:f>SUM(N5:N16)</x:f>
        <x:v>8219.178082191782</x:v>
      </x:c>
      <x:c r="O18" s="52" t="n">
        <x:f>SUM(O5:O16)</x:f>
        <x:v>9342.465753424658</x:v>
      </x:c>
      <x:c r="P18" s="52" t="n">
        <x:f>SUM(P5:P16)</x:f>
        <x:v>9863.013698630137</x:v>
      </x:c>
      <x:c r="Q18" s="52" t="n">
        <x:f>SUM(Q5:Q16)</x:f>
        <x:v>10191.780821917808</x:v>
      </x:c>
      <x:c r="R18" s="52" t="n">
        <x:f>SUM(R5:R16)</x:f>
        <x:v>10191.780821917808</x:v>
      </x:c>
      <x:c r="S18" s="52" t="n">
        <x:f>SUM(S5:S16)</x:f>
        <x:v>9534.246575342464</x:v>
      </x:c>
      <x:c r="T18" s="52" t="n">
        <x:f>SUM(T5:T16)</x:f>
        <x:v>10191.780821917808</x:v>
      </x:c>
      <x:c r="U18" s="52" t="n">
        <x:f>SUM(U5:U16)</x:f>
        <x:v>9863.013698630137</x:v>
      </x:c>
      <x:c r="V18" s="52" t="n">
        <x:f>SUM(V5:V16)</x:f>
        <x:v>10191.780821917808</x:v>
      </x:c>
      <x:c r="W18" s="52" t="n">
        <x:f>SUM(W5:W16)</x:f>
        <x:v>9863.013698630137</x:v>
      </x:c>
      <x:c r="X18" s="52" t="n">
        <x:f>SUM(X5:X16)</x:f>
        <x:v>10191.780821917808</x:v>
      </x:c>
      <x:c r="Y18" s="52" t="n">
        <x:f>SUM(Y5:Y16)</x:f>
        <x:v>10191.780821917808</x:v>
      </x:c>
      <x:c r="Z18" s="52" t="n">
        <x:f>SUM(Z5:Z16)</x:f>
        <x:v>9863.013698630137</x:v>
      </x:c>
      <x:c r="AA18" s="52" t="n">
        <x:f>SUM(AA5:AA16)</x:f>
        <x:v>10191.780821917808</x:v>
      </x:c>
      <x:c r="AB18" s="52" t="n">
        <x:f>SUM(AB5:AB16)</x:f>
        <x:v>9863.013698630137</x:v>
      </x:c>
      <x:c r="AC18" s="52" t="n">
        <x:f>SUM(AC5:AC16)</x:f>
        <x:v>10191.780821917808</x:v>
      </x:c>
      <x:c r="AD18" s="52" t="n">
        <x:f>SUM(AD5:AD16)</x:f>
        <x:v>10191.780821917808</x:v>
      </x:c>
      <x:c r="AE18" s="52" t="n">
        <x:f>SUM(AE5:AE16)</x:f>
        <x:v>9205.479452054795</x:v>
      </x:c>
      <x:c r="AF18" s="52" t="n">
        <x:f>SUM(AF5:AF16)</x:f>
        <x:v>10191.780821917808</x:v>
      </x:c>
      <x:c r="AG18" s="52" t="n">
        <x:f>SUM(AG5:AG16)</x:f>
        <x:v>9863.013698630137</x:v>
      </x:c>
      <x:c r="AH18" s="52" t="n">
        <x:f>SUM(AH5:AH16)</x:f>
        <x:v>10191.780821917808</x:v>
      </x:c>
      <x:c r="AI18" s="52" t="n">
        <x:f>SUM(AI5:AI16)</x:f>
        <x:v>9863.013698630137</x:v>
      </x:c>
      <x:c r="AJ18" s="52" t="n">
        <x:f>SUM(AJ5:AJ16)</x:f>
        <x:v>10191.780821917808</x:v>
      </x:c>
      <x:c r="AK18" s="52" t="n">
        <x:f>SUM(AK5:AK16)</x:f>
        <x:v>10191.780821917808</x:v>
      </x:c>
      <x:c r="AL18" s="52" t="n">
        <x:f>SUM(AL5:AL16)</x:f>
        <x:v>9863.013698630137</x:v>
      </x:c>
      <x:c r="AM18" s="52" t="n">
        <x:f>SUM(AM5:AM16)</x:f>
        <x:v>10191.780821917808</x:v>
      </x:c>
      <x:c r="AN18" s="52" t="n">
        <x:f>SUM(AN5:AN16)</x:f>
        <x:v>9863.013698630137</x:v>
      </x:c>
      <x:c r="AO18" s="52" t="n">
        <x:f>SUM(AO5:AO16)</x:f>
        <x:v>10191.780821917808</x:v>
      </x:c>
    </x:row>
    <x:row r="19">
      <x:c r="A19" s="43" t="str">
        <x:v>Cash interest paid (quarterly)</x:v>
      </x:c>
      <x:c r="B19" s="43"/>
      <x:c r="C19" s="43"/>
      <x:c r="D19" s="43"/>
      <x:c r="E19" s="44" t="n">
        <x:f>-SUM(E18:E18)</x:f>
        <x:v>-509.5890410958904</x:v>
      </x:c>
      <x:c r="F19" s="44" t="n">
        <x:v>0</x:v>
      </x:c>
      <x:c r="G19" s="44" t="n">
        <x:v>0</x:v>
      </x:c>
      <x:c r="H19" s="44" t="n">
        <x:f>-SUM(F18:H18)</x:f>
        <x:v>-7227.397260273972</x:v>
      </x:c>
      <x:c r="I19" s="44" t="n">
        <x:v>0</x:v>
      </x:c>
      <x:c r="J19" s="44" t="n">
        <x:v>0</x:v>
      </x:c>
      <x:c r="K19" s="44" t="n">
        <x:f>-SUM(I18:K18)</x:f>
        <x:v>-14958.904109589042</x:v>
      </x:c>
      <x:c r="L19" s="44" t="n">
        <x:v>0</x:v>
      </x:c>
      <x:c r="M19" s="44" t="n">
        <x:v>0</x:v>
      </x:c>
      <x:c r="N19" s="44" t="n">
        <x:f>-SUM(L18:N18)</x:f>
        <x:v>-22657.534246575342</x:v>
      </x:c>
      <x:c r="O19" s="44" t="n">
        <x:v>0</x:v>
      </x:c>
      <x:c r="P19" s="44" t="n">
        <x:v>0</x:v>
      </x:c>
      <x:c r="Q19" s="44" t="n">
        <x:f>-SUM(O18:Q18)</x:f>
        <x:v>-29397.260273972603</x:v>
      </x:c>
      <x:c r="R19" s="44" t="n">
        <x:v>0</x:v>
      </x:c>
      <x:c r="S19" s="44" t="n">
        <x:v>0</x:v>
      </x:c>
      <x:c r="T19" s="44" t="n">
        <x:f>-SUM(R18:T18)</x:f>
        <x:v>-29917.80821917808</x:v>
      </x:c>
      <x:c r="U19" s="44" t="n">
        <x:v>0</x:v>
      </x:c>
      <x:c r="V19" s="44" t="n">
        <x:v>0</x:v>
      </x:c>
      <x:c r="W19" s="44" t="n">
        <x:f>-SUM(U18:W18)</x:f>
        <x:v>-29917.80821917808</x:v>
      </x:c>
      <x:c r="X19" s="44" t="n">
        <x:v>0</x:v>
      </x:c>
      <x:c r="Y19" s="44" t="n">
        <x:v>0</x:v>
      </x:c>
      <x:c r="Z19" s="44" t="n">
        <x:f>-SUM(X18:Z18)</x:f>
        <x:v>-30246.575342465752</x:v>
      </x:c>
      <x:c r="AA19" s="44" t="n">
        <x:v>0</x:v>
      </x:c>
      <x:c r="AB19" s="44" t="n">
        <x:v>0</x:v>
      </x:c>
      <x:c r="AC19" s="44" t="n">
        <x:f>-SUM(AA18:AC18)</x:f>
        <x:v>-30246.575342465752</x:v>
      </x:c>
      <x:c r="AD19" s="44" t="n">
        <x:v>0</x:v>
      </x:c>
      <x:c r="AE19" s="44" t="n">
        <x:v>0</x:v>
      </x:c>
      <x:c r="AF19" s="44" t="n">
        <x:f>-SUM(AD18:AF18)</x:f>
        <x:v>-29589.04109589041</x:v>
      </x:c>
      <x:c r="AG19" s="44" t="n">
        <x:v>0</x:v>
      </x:c>
      <x:c r="AH19" s="44" t="n">
        <x:v>0</x:v>
      </x:c>
      <x:c r="AI19" s="44" t="n">
        <x:f>-SUM(AG18:AI18)</x:f>
        <x:v>-29917.80821917808</x:v>
      </x:c>
      <x:c r="AJ19" s="44" t="n">
        <x:v>0</x:v>
      </x:c>
      <x:c r="AK19" s="44" t="n">
        <x:v>0</x:v>
      </x:c>
      <x:c r="AL19" s="44" t="n">
        <x:f>-SUM(AJ18:AL18)</x:f>
        <x:v>-30246.575342465752</x:v>
      </x:c>
      <x:c r="AM19" s="44" t="n">
        <x:v>0</x:v>
      </x:c>
      <x:c r="AN19" s="44" t="n">
        <x:v>0</x:v>
      </x:c>
      <x:c r="AO19" s="44" t="n">
        <x:f>-SUM(AM18:AO18)</x:f>
        <x:v>-30246.575342465752</x:v>
      </x:c>
    </x:row>
    <x:row r="20">
      <x:c r="A20" s="43" t="str">
        <x:v>Ending accrued cash interest payable</x:v>
      </x:c>
      <x:c r="B20" s="43"/>
      <x:c r="C20" s="43"/>
      <x:c r="D20" s="43"/>
      <x:c r="E20" s="44" t="n">
        <x:f>E18+E19</x:f>
        <x:v>0</x:v>
      </x:c>
      <x:c r="F20" s="44" t="n">
        <x:f>E20+F18+F19</x:f>
        <x:v>1528.7671232876712</x:v>
      </x:c>
      <x:c r="G20" s="44" t="n">
        <x:f>F20+G18+G19</x:f>
        <x:v>3830.1369863013697</x:v>
      </x:c>
      <x:c r="H20" s="44" t="n">
        <x:f>G20+H18+H19</x:f>
        <x:v>0</x:v>
      </x:c>
      <x:c r="I20" s="44" t="n">
        <x:f>H20+I18+I19</x:f>
        <x:v>4109.58904109589</x:v>
      </x:c>
      <x:c r="J20" s="44" t="n">
        <x:f>I20+J18+J19</x:f>
        <x:v>9205.479452054795</x:v>
      </x:c>
      <x:c r="K20" s="44" t="n">
        <x:f>J20+K18+K19</x:f>
        <x:v>0</x:v>
      </x:c>
      <x:c r="L20" s="44" t="n">
        <x:f>K20+L18+L19</x:f>
        <x:v>6794.520547945205</x:v>
      </x:c>
      <x:c r="M20" s="44" t="n">
        <x:f>L20+M18+M19</x:f>
        <x:v>14438.35616438356</x:v>
      </x:c>
      <x:c r="N20" s="44" t="n">
        <x:f>M20+N18+N19</x:f>
        <x:v>0</x:v>
      </x:c>
      <x:c r="O20" s="44" t="n">
        <x:f>N20+O18+O19</x:f>
        <x:v>9342.465753424658</x:v>
      </x:c>
      <x:c r="P20" s="44" t="n">
        <x:f>O20+P18+P19</x:f>
        <x:v>19205.479452054795</x:v>
      </x:c>
      <x:c r="Q20" s="44" t="n">
        <x:f>P20+Q18+Q19</x:f>
        <x:v>0</x:v>
      </x:c>
      <x:c r="R20" s="44" t="n">
        <x:f>Q20+R18+R19</x:f>
        <x:v>10191.780821917808</x:v>
      </x:c>
      <x:c r="S20" s="44" t="n">
        <x:f>R20+S18+S19</x:f>
        <x:v>19726.027397260274</x:v>
      </x:c>
      <x:c r="T20" s="44" t="n">
        <x:f>S20+T18+T19</x:f>
        <x:v>0</x:v>
      </x:c>
      <x:c r="U20" s="44" t="n">
        <x:f>T20+U18+U19</x:f>
        <x:v>9863.013698630137</x:v>
      </x:c>
      <x:c r="V20" s="44" t="n">
        <x:f>U20+V18+V19</x:f>
        <x:v>20054.794520547945</x:v>
      </x:c>
      <x:c r="W20" s="44" t="n">
        <x:f>V20+W18+W19</x:f>
        <x:v>0</x:v>
      </x:c>
      <x:c r="X20" s="44" t="n">
        <x:f>W20+X18+X19</x:f>
        <x:v>10191.780821917808</x:v>
      </x:c>
      <x:c r="Y20" s="44" t="n">
        <x:f>X20+Y18+Y19</x:f>
        <x:v>20383.561643835616</x:v>
      </x:c>
      <x:c r="Z20" s="44" t="n">
        <x:f>Y20+Z18+Z19</x:f>
        <x:v>0</x:v>
      </x:c>
      <x:c r="AA20" s="44" t="n">
        <x:f>Z20+AA18+AA19</x:f>
        <x:v>10191.780821917808</x:v>
      </x:c>
      <x:c r="AB20" s="44" t="n">
        <x:f>AA20+AB18+AB19</x:f>
        <x:v>20054.794520547945</x:v>
      </x:c>
      <x:c r="AC20" s="44" t="n">
        <x:f>AB20+AC18+AC19</x:f>
        <x:v>0</x:v>
      </x:c>
      <x:c r="AD20" s="44" t="n">
        <x:f>AC20+AD18+AD19</x:f>
        <x:v>10191.780821917808</x:v>
      </x:c>
      <x:c r="AE20" s="44" t="n">
        <x:f>AD20+AE18+AE19</x:f>
        <x:v>19397.260273972603</x:v>
      </x:c>
      <x:c r="AF20" s="44" t="n">
        <x:f>AE20+AF18+AF19</x:f>
        <x:v>0</x:v>
      </x:c>
      <x:c r="AG20" s="44" t="n">
        <x:f>AF20+AG18+AG19</x:f>
        <x:v>9863.013698630137</x:v>
      </x:c>
      <x:c r="AH20" s="44" t="n">
        <x:f>AG20+AH18+AH19</x:f>
        <x:v>20054.794520547945</x:v>
      </x:c>
      <x:c r="AI20" s="44" t="n">
        <x:f>AH20+AI18+AI19</x:f>
        <x:v>0</x:v>
      </x:c>
      <x:c r="AJ20" s="44" t="n">
        <x:f>AI20+AJ18+AJ19</x:f>
        <x:v>10191.780821917808</x:v>
      </x:c>
      <x:c r="AK20" s="44" t="n">
        <x:f>AJ20+AK18+AK19</x:f>
        <x:v>20383.561643835616</x:v>
      </x:c>
      <x:c r="AL20" s="44" t="n">
        <x:f>AK20+AL18+AL19</x:f>
        <x:v>0</x:v>
      </x:c>
      <x:c r="AM20" s="44" t="n">
        <x:f>AL20+AM18+AM19</x:f>
        <x:v>10191.780821917808</x:v>
      </x:c>
      <x:c r="AN20" s="44" t="n">
        <x:f>AM20+AN18+AN19</x:f>
        <x:v>20054.794520547945</x:v>
      </x:c>
      <x:c r="AO20" s="44" t="n">
        <x:f>AN20+AO18+AO19</x:f>
        <x:v>0</x:v>
      </x:c>
    </x:row>
    <x:row r="21">
      <x:c r="A21" s="51" t="str">
        <x:v>PIK interest accrued (5%)</x:v>
      </x:c>
      <x:c r="B21" s="51"/>
      <x:c r="C21" s="51"/>
      <x:c r="D21" s="51"/>
      <x:c r="E21" s="52" t="n">
        <x:f>E18*'Assumptions'!$B$24/'Assumptions'!$B$6</x:f>
        <x:v>636.986301369863</x:v>
      </x:c>
      <x:c r="F21" s="52" t="n">
        <x:f>F18*'Assumptions'!$B$24/'Assumptions'!$B$6</x:f>
        <x:v>1910.958904109589</x:v>
      </x:c>
      <x:c r="G21" s="52" t="n">
        <x:f>G18*'Assumptions'!$B$24/'Assumptions'!$B$6</x:f>
        <x:v>2876.7123287671234</x:v>
      </x:c>
      <x:c r="H21" s="52" t="n">
        <x:f>H18*'Assumptions'!$B$24/'Assumptions'!$B$6</x:f>
        <x:v>4246.575342465753</x:v>
      </x:c>
      <x:c r="I21" s="52" t="n">
        <x:f>I18*'Assumptions'!$B$24/'Assumptions'!$B$6</x:f>
        <x:v>5136.986301369862</x:v>
      </x:c>
      <x:c r="J21" s="52" t="n">
        <x:f>J18*'Assumptions'!$B$24/'Assumptions'!$B$6</x:f>
        <x:v>6369.86301369863</x:v>
      </x:c>
      <x:c r="K21" s="52" t="n">
        <x:f>K18*'Assumptions'!$B$24/'Assumptions'!$B$6</x:f>
        <x:v>7191.780821917809</x:v>
      </x:c>
      <x:c r="L21" s="52" t="n">
        <x:f>L18*'Assumptions'!$B$24/'Assumptions'!$B$6</x:f>
        <x:v>8493.150684931506</x:v>
      </x:c>
      <x:c r="M21" s="52" t="n">
        <x:f>M18*'Assumptions'!$B$24/'Assumptions'!$B$6</x:f>
        <x:v>9554.794520547945</x:v>
      </x:c>
      <x:c r="N21" s="52" t="n">
        <x:f>N18*'Assumptions'!$B$24/'Assumptions'!$B$6</x:f>
        <x:v>10273.972602739728</x:v>
      </x:c>
      <x:c r="O21" s="52" t="n">
        <x:f>O18*'Assumptions'!$B$24/'Assumptions'!$B$6</x:f>
        <x:v>11678.082191780823</x:v>
      </x:c>
      <x:c r="P21" s="52" t="n">
        <x:f>P18*'Assumptions'!$B$24/'Assumptions'!$B$6</x:f>
        <x:v>12328.767123287671</x:v>
      </x:c>
      <x:c r="Q21" s="52" t="n">
        <x:f>Q18*'Assumptions'!$B$24/'Assumptions'!$B$6</x:f>
        <x:v>12739.72602739726</x:v>
      </x:c>
      <x:c r="R21" s="52" t="n">
        <x:f>R18*'Assumptions'!$B$24/'Assumptions'!$B$6</x:f>
        <x:v>12739.72602739726</x:v>
      </x:c>
      <x:c r="S21" s="52" t="n">
        <x:f>S18*'Assumptions'!$B$24/'Assumptions'!$B$6</x:f>
        <x:v>11917.80821917808</x:v>
      </x:c>
      <x:c r="T21" s="52" t="n">
        <x:f>T18*'Assumptions'!$B$24/'Assumptions'!$B$6</x:f>
        <x:v>12739.72602739726</x:v>
      </x:c>
      <x:c r="U21" s="52" t="n">
        <x:f>U18*'Assumptions'!$B$24/'Assumptions'!$B$6</x:f>
        <x:v>12328.767123287671</x:v>
      </x:c>
      <x:c r="V21" s="52" t="n">
        <x:f>V18*'Assumptions'!$B$24/'Assumptions'!$B$6</x:f>
        <x:v>12739.72602739726</x:v>
      </x:c>
      <x:c r="W21" s="52" t="n">
        <x:f>W18*'Assumptions'!$B$24/'Assumptions'!$B$6</x:f>
        <x:v>12328.767123287671</x:v>
      </x:c>
      <x:c r="X21" s="52" t="n">
        <x:f>X18*'Assumptions'!$B$24/'Assumptions'!$B$6</x:f>
        <x:v>12739.72602739726</x:v>
      </x:c>
      <x:c r="Y21" s="52" t="n">
        <x:f>Y18*'Assumptions'!$B$24/'Assumptions'!$B$6</x:f>
        <x:v>12739.72602739726</x:v>
      </x:c>
      <x:c r="Z21" s="52" t="n">
        <x:f>Z18*'Assumptions'!$B$24/'Assumptions'!$B$6</x:f>
        <x:v>12328.767123287671</x:v>
      </x:c>
      <x:c r="AA21" s="52" t="n">
        <x:f>AA18*'Assumptions'!$B$24/'Assumptions'!$B$6</x:f>
        <x:v>12739.72602739726</x:v>
      </x:c>
      <x:c r="AB21" s="52" t="n">
        <x:f>AB18*'Assumptions'!$B$24/'Assumptions'!$B$6</x:f>
        <x:v>12328.767123287671</x:v>
      </x:c>
      <x:c r="AC21" s="52" t="n">
        <x:f>AC18*'Assumptions'!$B$24/'Assumptions'!$B$6</x:f>
        <x:v>12739.72602739726</x:v>
      </x:c>
      <x:c r="AD21" s="52" t="n">
        <x:f>AD18*'Assumptions'!$B$24/'Assumptions'!$B$6</x:f>
        <x:v>12739.72602739726</x:v>
      </x:c>
      <x:c r="AE21" s="52" t="n">
        <x:f>AE18*'Assumptions'!$B$24/'Assumptions'!$B$6</x:f>
        <x:v>11506.849315068494</x:v>
      </x:c>
      <x:c r="AF21" s="52" t="n">
        <x:f>AF18*'Assumptions'!$B$24/'Assumptions'!$B$6</x:f>
        <x:v>12739.72602739726</x:v>
      </x:c>
      <x:c r="AG21" s="52" t="n">
        <x:f>AG18*'Assumptions'!$B$24/'Assumptions'!$B$6</x:f>
        <x:v>12328.767123287671</x:v>
      </x:c>
      <x:c r="AH21" s="52" t="n">
        <x:f>AH18*'Assumptions'!$B$24/'Assumptions'!$B$6</x:f>
        <x:v>12739.72602739726</x:v>
      </x:c>
      <x:c r="AI21" s="52" t="n">
        <x:f>AI18*'Assumptions'!$B$24/'Assumptions'!$B$6</x:f>
        <x:v>12328.767123287671</x:v>
      </x:c>
      <x:c r="AJ21" s="52" t="n">
        <x:f>AJ18*'Assumptions'!$B$24/'Assumptions'!$B$6</x:f>
        <x:v>12739.72602739726</x:v>
      </x:c>
      <x:c r="AK21" s="52" t="n">
        <x:f>AK18*'Assumptions'!$B$24/'Assumptions'!$B$6</x:f>
        <x:v>12739.72602739726</x:v>
      </x:c>
      <x:c r="AL21" s="52" t="n">
        <x:f>AL18*'Assumptions'!$B$24/'Assumptions'!$B$6</x:f>
        <x:v>12328.767123287671</x:v>
      </x:c>
      <x:c r="AM21" s="52" t="n">
        <x:f>AM18*'Assumptions'!$B$24/'Assumptions'!$B$6</x:f>
        <x:v>12739.72602739726</x:v>
      </x:c>
      <x:c r="AN21" s="52" t="n">
        <x:f>AN18*'Assumptions'!$B$24/'Assumptions'!$B$6</x:f>
        <x:v>12328.767123287671</x:v>
      </x:c>
      <x:c r="AO21" s="52" t="n">
        <x:f>AO18*'Assumptions'!$B$24/'Assumptions'!$B$6</x:f>
        <x:v>12739.72602739726</x:v>
      </x:c>
    </x:row>
    <x:row r="22">
      <x:c r="A22" s="51" t="str">
        <x:v>Cumulative PIK principal</x:v>
      </x:c>
      <x:c r="B22" s="51"/>
      <x:c r="C22" s="51"/>
      <x:c r="D22" s="51"/>
      <x:c r="E22" s="52" t="n">
        <x:f>E21</x:f>
        <x:v>636.986301369863</x:v>
      </x:c>
      <x:c r="F22" s="52" t="n">
        <x:f>E22+F21</x:f>
        <x:v>2547.945205479452</x:v>
      </x:c>
      <x:c r="G22" s="52" t="n">
        <x:f>F22+G21</x:f>
        <x:v>5424.657534246575</x:v>
      </x:c>
      <x:c r="H22" s="52" t="n">
        <x:f>G22+H21</x:f>
        <x:v>9671.232876712329</x:v>
      </x:c>
      <x:c r="I22" s="52" t="n">
        <x:f>H22+I21</x:f>
        <x:v>14808.219178082192</x:v>
      </x:c>
      <x:c r="J22" s="52" t="n">
        <x:f>I22+J21</x:f>
        <x:v>21178.08219178082</x:v>
      </x:c>
      <x:c r="K22" s="52" t="n">
        <x:f>J22+K21</x:f>
        <x:v>28369.86301369863</x:v>
      </x:c>
      <x:c r="L22" s="52" t="n">
        <x:f>K22+L21</x:f>
        <x:v>36863.01369863014</x:v>
      </x:c>
      <x:c r="M22" s="52" t="n">
        <x:f>L22+M21</x:f>
        <x:v>46417.808219178085</x:v>
      </x:c>
      <x:c r="N22" s="52" t="n">
        <x:f>M22+N21</x:f>
        <x:v>56691.78082191781</x:v>
      </x:c>
      <x:c r="O22" s="52" t="n">
        <x:f>N22+O21</x:f>
        <x:v>68369.86301369863</x:v>
      </x:c>
      <x:c r="P22" s="52" t="n">
        <x:f>O22+P21</x:f>
        <x:v>80698.6301369863</x:v>
      </x:c>
      <x:c r="Q22" s="52" t="n">
        <x:f>P22+Q21</x:f>
        <x:v>93438.35616438357</x:v>
      </x:c>
      <x:c r="R22" s="52" t="n">
        <x:f>Q22+R21</x:f>
        <x:v>106178.08219178084</x:v>
      </x:c>
      <x:c r="S22" s="52" t="n">
        <x:f>R22+S21</x:f>
        <x:v>118095.89041095892</x:v>
      </x:c>
      <x:c r="T22" s="52" t="n">
        <x:f>S22+T21</x:f>
        <x:v>130835.61643835618</x:v>
      </x:c>
      <x:c r="U22" s="52" t="n">
        <x:f>T22+U21</x:f>
        <x:v>143164.38356164386</x:v>
      </x:c>
      <x:c r="V22" s="52" t="n">
        <x:f>U22+V21</x:f>
        <x:v>155904.10958904112</x:v>
      </x:c>
      <x:c r="W22" s="52" t="n">
        <x:f>V22+W21</x:f>
        <x:v>168232.87671232878</x:v>
      </x:c>
      <x:c r="X22" s="52" t="n">
        <x:f>W22+X21</x:f>
        <x:v>180972.60273972605</x:v>
      </x:c>
      <x:c r="Y22" s="52" t="n">
        <x:f>X22+Y21</x:f>
        <x:v>193712.3287671233</x:v>
      </x:c>
      <x:c r="Z22" s="52" t="n">
        <x:f>Y22+Z21</x:f>
        <x:v>206041.09589041097</x:v>
      </x:c>
      <x:c r="AA22" s="52" t="n">
        <x:f>Z22+AA21</x:f>
        <x:v>218780.82191780824</x:v>
      </x:c>
      <x:c r="AB22" s="52" t="n">
        <x:f>AA22+AB21</x:f>
        <x:v>231109.5890410959</x:v>
      </x:c>
      <x:c r="AC22" s="52" t="n">
        <x:f>AB22+AC21</x:f>
        <x:v>243849.31506849316</x:v>
      </x:c>
      <x:c r="AD22" s="52" t="n">
        <x:f>AC22+AD21</x:f>
        <x:v>256589.04109589042</x:v>
      </x:c>
      <x:c r="AE22" s="52" t="n">
        <x:f>AD22+AE21</x:f>
        <x:v>268095.8904109589</x:v>
      </x:c>
      <x:c r="AF22" s="52" t="n">
        <x:f>AE22+AF21</x:f>
        <x:v>280835.61643835617</x:v>
      </x:c>
      <x:c r="AG22" s="52" t="n">
        <x:f>AF22+AG21</x:f>
        <x:v>293164.38356164383</x:v>
      </x:c>
      <x:c r="AH22" s="52" t="n">
        <x:f>AG22+AH21</x:f>
        <x:v>305904.1095890411</x:v>
      </x:c>
      <x:c r="AI22" s="52" t="n">
        <x:f>AH22+AI21</x:f>
        <x:v>318232.87671232875</x:v>
      </x:c>
      <x:c r="AJ22" s="52" t="n">
        <x:f>AI22+AJ21</x:f>
        <x:v>330972.602739726</x:v>
      </x:c>
      <x:c r="AK22" s="52" t="n">
        <x:f>AJ22+AK21</x:f>
        <x:v>343712.3287671233</x:v>
      </x:c>
      <x:c r="AL22" s="52" t="n">
        <x:f>AK22+AL21</x:f>
        <x:v>356041.09589041094</x:v>
      </x:c>
      <x:c r="AM22" s="52" t="n">
        <x:f>AL22+AM21</x:f>
        <x:v>368780.8219178082</x:v>
      </x:c>
      <x:c r="AN22" s="52" t="n">
        <x:f>AM22+AN21</x:f>
        <x:v>381109.58904109587</x:v>
      </x:c>
      <x:c r="AO22" s="52" t="n">
        <x:f>AN22+AO21</x:f>
        <x:v>393849.31506849313</x:v>
      </x:c>
    </x:row>
    <x:row r="23">
      <x:c r="A23" s="51" t="str">
        <x:v>Note carrying amount (face + PIK)</x:v>
      </x:c>
      <x:c r="B23" s="51"/>
      <x:c r="C23" s="51"/>
      <x:c r="D23" s="51"/>
      <x:c r="E23" s="52" t="n">
        <x:f>SUMIF($B$5:$B$16,"&lt;="&amp;EOMONTH(E$4,0),$C$5:$C$16)+E22</x:f>
        <x:v>150636.98630136985</x:v>
      </x:c>
      <x:c r="F23" s="52" t="n">
        <x:f>SUMIF($B$5:$B$16,"&lt;="&amp;EOMONTH(F$4,0),$C$5:$C$16)+F22</x:f>
        <x:v>452547.94520547945</x:v>
      </x:c>
      <x:c r="G23" s="52" t="n">
        <x:f>SUMIF($B$5:$B$16,"&lt;="&amp;EOMONTH(G$4,0),$C$5:$C$16)+G22</x:f>
        <x:v>755424.6575342466</x:v>
      </x:c>
      <x:c r="H23" s="52" t="n">
        <x:f>SUMIF($B$5:$B$16,"&lt;="&amp;EOMONTH(H$4,0),$C$5:$C$16)+H22</x:f>
        <x:v>1009671.2328767123</x:v>
      </x:c>
      <x:c r="I23" s="52" t="n">
        <x:f>SUMIF($B$5:$B$16,"&lt;="&amp;EOMONTH(I$4,0),$C$5:$C$16)+I22</x:f>
        <x:v>1264808.2191780822</x:v>
      </x:c>
      <x:c r="J23" s="52" t="n">
        <x:f>SUMIF($B$5:$B$16,"&lt;="&amp;EOMONTH(J$4,0),$C$5:$C$16)+J22</x:f>
        <x:v>1521178.082191781</x:v>
      </x:c>
      <x:c r="K23" s="52" t="n">
        <x:f>SUMIF($B$5:$B$16,"&lt;="&amp;EOMONTH(K$4,0),$C$5:$C$16)+K22</x:f>
        <x:v>1778369.8630136987</x:v>
      </x:c>
      <x:c r="L23" s="52" t="n">
        <x:f>SUMIF($B$5:$B$16,"&lt;="&amp;EOMONTH(L$4,0),$C$5:$C$16)+L22</x:f>
        <x:v>2036863.01369863</x:v>
      </x:c>
      <x:c r="M23" s="52" t="n">
        <x:f>SUMIF($B$5:$B$16,"&lt;="&amp;EOMONTH(M$4,0),$C$5:$C$16)+M22</x:f>
        <x:v>2296417.808219178</x:v>
      </x:c>
      <x:c r="N23" s="52" t="n">
        <x:f>SUMIF($B$5:$B$16,"&lt;="&amp;EOMONTH(N$4,0),$C$5:$C$16)+N22</x:f>
        <x:v>2556691.7808219176</x:v>
      </x:c>
      <x:c r="O23" s="52" t="n">
        <x:f>SUMIF($B$5:$B$16,"&lt;="&amp;EOMONTH(O$4,0),$C$5:$C$16)+O22</x:f>
        <x:v>2818369.8630136987</x:v>
      </x:c>
      <x:c r="P23" s="52" t="n">
        <x:f>SUMIF($B$5:$B$16,"&lt;="&amp;EOMONTH(P$4,0),$C$5:$C$16)+P22</x:f>
        <x:v>3080698.6301369863</x:v>
      </x:c>
      <x:c r="Q23" s="52" t="n">
        <x:f>SUMIF($B$5:$B$16,"&lt;="&amp;EOMONTH(Q$4,0),$C$5:$C$16)+Q22</x:f>
        <x:v>3093438.3561643837</x:v>
      </x:c>
      <x:c r="R23" s="52" t="n">
        <x:f>SUMIF($B$5:$B$16,"&lt;="&amp;EOMONTH(R$4,0),$C$5:$C$16)+R22</x:f>
        <x:v>3106178.0821917807</x:v>
      </x:c>
      <x:c r="S23" s="52" t="n">
        <x:f>SUMIF($B$5:$B$16,"&lt;="&amp;EOMONTH(S$4,0),$C$5:$C$16)+S22</x:f>
        <x:v>3118095.890410959</x:v>
      </x:c>
      <x:c r="T23" s="52" t="n">
        <x:f>SUMIF($B$5:$B$16,"&lt;="&amp;EOMONTH(T$4,0),$C$5:$C$16)+T22</x:f>
        <x:v>3130835.616438356</x:v>
      </x:c>
      <x:c r="U23" s="52" t="n">
        <x:f>SUMIF($B$5:$B$16,"&lt;="&amp;EOMONTH(U$4,0),$C$5:$C$16)+U22</x:f>
        <x:v>3143164.383561644</x:v>
      </x:c>
      <x:c r="V23" s="52" t="n">
        <x:f>SUMIF($B$5:$B$16,"&lt;="&amp;EOMONTH(V$4,0),$C$5:$C$16)+V22</x:f>
        <x:v>3155904.109589041</x:v>
      </x:c>
      <x:c r="W23" s="52" t="n">
        <x:f>SUMIF($B$5:$B$16,"&lt;="&amp;EOMONTH(W$4,0),$C$5:$C$16)+W22</x:f>
        <x:v>3168232.8767123288</x:v>
      </x:c>
      <x:c r="X23" s="52" t="n">
        <x:f>SUMIF($B$5:$B$16,"&lt;="&amp;EOMONTH(X$4,0),$C$5:$C$16)+X22</x:f>
        <x:v>3180972.602739726</x:v>
      </x:c>
      <x:c r="Y23" s="52" t="n">
        <x:f>SUMIF($B$5:$B$16,"&lt;="&amp;EOMONTH(Y$4,0),$C$5:$C$16)+Y22</x:f>
        <x:v>3193712.328767123</x:v>
      </x:c>
      <x:c r="Z23" s="52" t="n">
        <x:f>SUMIF($B$5:$B$16,"&lt;="&amp;EOMONTH(Z$4,0),$C$5:$C$16)+Z22</x:f>
        <x:v>3206041.095890411</x:v>
      </x:c>
      <x:c r="AA23" s="52" t="n">
        <x:f>SUMIF($B$5:$B$16,"&lt;="&amp;EOMONTH(AA$4,0),$C$5:$C$16)+AA22</x:f>
        <x:v>3218780.821917808</x:v>
      </x:c>
      <x:c r="AB23" s="52" t="n">
        <x:f>SUMIF($B$5:$B$16,"&lt;="&amp;EOMONTH(AB$4,0),$C$5:$C$16)+AB22</x:f>
        <x:v>3231109.5890410957</x:v>
      </x:c>
      <x:c r="AC23" s="52" t="n">
        <x:f>SUMIF($B$5:$B$16,"&lt;="&amp;EOMONTH(AC$4,0),$C$5:$C$16)+AC22</x:f>
        <x:v>3243849.315068493</x:v>
      </x:c>
      <x:c r="AD23" s="52" t="n">
        <x:f>SUMIF($B$5:$B$16,"&lt;="&amp;EOMONTH(AD$4,0),$C$5:$C$16)+AD22</x:f>
        <x:v>3256589.0410958906</x:v>
      </x:c>
      <x:c r="AE23" s="52" t="n">
        <x:f>SUMIF($B$5:$B$16,"&lt;="&amp;EOMONTH(AE$4,0),$C$5:$C$16)+AE22</x:f>
        <x:v>3268095.890410959</x:v>
      </x:c>
      <x:c r="AF23" s="52" t="n">
        <x:f>SUMIF($B$5:$B$16,"&lt;="&amp;EOMONTH(AF$4,0),$C$5:$C$16)+AF22</x:f>
        <x:v>3280835.616438356</x:v>
      </x:c>
      <x:c r="AG23" s="52" t="n">
        <x:f>SUMIF($B$5:$B$16,"&lt;="&amp;EOMONTH(AG$4,0),$C$5:$C$16)+AG22</x:f>
        <x:v>3293164.383561644</x:v>
      </x:c>
      <x:c r="AH23" s="52" t="n">
        <x:f>SUMIF($B$5:$B$16,"&lt;="&amp;EOMONTH(AH$4,0),$C$5:$C$16)+AH22</x:f>
        <x:v>3305904.109589041</x:v>
      </x:c>
      <x:c r="AI23" s="52" t="n">
        <x:f>SUMIF($B$5:$B$16,"&lt;="&amp;EOMONTH(AI$4,0),$C$5:$C$16)+AI22</x:f>
        <x:v>3318232.8767123288</x:v>
      </x:c>
      <x:c r="AJ23" s="52" t="n">
        <x:f>SUMIF($B$5:$B$16,"&lt;="&amp;EOMONTH(AJ$4,0),$C$5:$C$16)+AJ22</x:f>
        <x:v>3330972.602739726</x:v>
      </x:c>
      <x:c r="AK23" s="52" t="n">
        <x:f>SUMIF($B$5:$B$16,"&lt;="&amp;EOMONTH(AK$4,0),$C$5:$C$16)+AK22</x:f>
        <x:v>3343712.328767123</x:v>
      </x:c>
      <x:c r="AL23" s="52" t="n">
        <x:f>SUMIF($B$5:$B$16,"&lt;="&amp;EOMONTH(AL$4,0),$C$5:$C$16)+AL22</x:f>
        <x:v>3356041.095890411</x:v>
      </x:c>
      <x:c r="AM23" s="52" t="n">
        <x:f>SUMIF($B$5:$B$16,"&lt;="&amp;EOMONTH(AM$4,0),$C$5:$C$16)+AM22</x:f>
        <x:v>3368780.821917808</x:v>
      </x:c>
      <x:c r="AN23" s="52" t="n">
        <x:f>SUMIF($B$5:$B$16,"&lt;="&amp;EOMONTH(AN$4,0),$C$5:$C$16)+AN22</x:f>
        <x:v>3381109.5890410957</x:v>
      </x:c>
      <x:c r="AO23" s="52" t="n">
        <x:f>SUMIF($B$5:$B$16,"&lt;="&amp;EOMONTH(AO$4,0),$C$5:$C$16)+AO22</x:f>
        <x:v>3393849.315068493</x:v>
      </x:c>
    </x:row>
    <x:row r="24">
      <x:c r="A24" s="51" t="str">
        <x:v>Conversion / principal repayment</x:v>
      </x:c>
      <x:c r="B24" s="51"/>
      <x:c r="C24" s="51"/>
      <x:c r="D24" s="51"/>
      <x:c r="E24" s="52" t="n">
        <x:v>0</x:v>
      </x:c>
      <x:c r="F24" s="52" t="n">
        <x:v>0</x:v>
      </x:c>
      <x:c r="G24" s="52" t="n">
        <x:v>0</x:v>
      </x:c>
      <x:c r="H24" s="52" t="n">
        <x:v>0</x:v>
      </x:c>
      <x:c r="I24" s="52" t="n">
        <x:v>0</x:v>
      </x:c>
      <x:c r="J24" s="52" t="n">
        <x:v>0</x:v>
      </x:c>
      <x:c r="K24" s="52" t="n">
        <x:v>0</x:v>
      </x:c>
      <x:c r="L24" s="52" t="n">
        <x:v>0</x:v>
      </x:c>
      <x:c r="M24" s="52" t="n">
        <x:v>0</x:v>
      </x:c>
      <x:c r="N24" s="52" t="n">
        <x:v>0</x:v>
      </x:c>
      <x:c r="O24" s="52" t="n">
        <x:v>0</x:v>
      </x:c>
      <x:c r="P24" s="52" t="n">
        <x:v>0</x:v>
      </x:c>
      <x:c r="Q24" s="52" t="n">
        <x:v>0</x:v>
      </x:c>
      <x:c r="R24" s="52" t="n">
        <x:v>0</x:v>
      </x:c>
      <x:c r="S24" s="52" t="n">
        <x:v>0</x:v>
      </x:c>
      <x:c r="T24" s="52" t="n">
        <x:v>0</x:v>
      </x:c>
      <x:c r="U24" s="52" t="n">
        <x:v>0</x:v>
      </x:c>
      <x:c r="V24" s="52" t="n">
        <x:v>0</x:v>
      </x:c>
      <x:c r="W24" s="52" t="n">
        <x:v>0</x:v>
      </x:c>
      <x:c r="X24" s="52" t="n">
        <x:v>0</x:v>
      </x:c>
      <x:c r="Y24" s="52" t="n">
        <x:v>0</x:v>
      </x:c>
      <x:c r="Z24" s="52" t="n">
        <x:v>0</x:v>
      </x:c>
      <x:c r="AA24" s="52" t="n">
        <x:v>0</x:v>
      </x:c>
      <x:c r="AB24" s="52" t="n">
        <x:v>0</x:v>
      </x:c>
      <x:c r="AC24" s="52" t="n">
        <x:v>0</x:v>
      </x:c>
      <x:c r="AD24" s="52" t="n">
        <x:v>0</x:v>
      </x:c>
      <x:c r="AE24" s="52" t="n">
        <x:v>0</x:v>
      </x:c>
      <x:c r="AF24" s="52" t="n">
        <x:v>0</x:v>
      </x:c>
      <x:c r="AG24" s="52" t="n">
        <x:v>0</x:v>
      </x:c>
      <x:c r="AH24" s="52" t="n">
        <x:v>0</x:v>
      </x:c>
      <x:c r="AI24" s="52" t="n">
        <x:v>0</x:v>
      </x:c>
      <x:c r="AJ24" s="52" t="n">
        <x:v>0</x:v>
      </x:c>
      <x:c r="AK24" s="52" t="n">
        <x:v>0</x:v>
      </x:c>
      <x:c r="AL24" s="52" t="n">
        <x:v>0</x:v>
      </x:c>
      <x:c r="AM24" s="52" t="n">
        <x:v>0</x:v>
      </x:c>
      <x:c r="AN24" s="52" t="n">
        <x:v>0</x:v>
      </x:c>
      <x:c r="AO24" s="52" t="n">
        <x:v>0</x:v>
      </x:c>
    </x:row>
  </x:sheetData>
  <x:mergeCells>
    <x:mergeCell ref="A1:AO1"/>
    <x:mergeCell ref="A2:AO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s>
  <x:sheetData>
    <x:row r="1" ht="30" customHeight="1">
      <x:c r="A1" s="31" t="str">
        <x:v>SVT Nexus — Base Case Income Statement (Accrual Basis)</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c r="AA1" s="31"/>
      <x:c r="AB1" s="31"/>
      <x:c r="AC1" s="31"/>
      <x:c r="AD1" s="31"/>
      <x:c r="AE1" s="31"/>
      <x:c r="AF1" s="31"/>
      <x:c r="AG1" s="31"/>
      <x:c r="AH1" s="31"/>
      <x:c r="AI1" s="31"/>
      <x:c r="AJ1" s="31"/>
      <x:c r="AK1" s="31"/>
      <x:c r="AL1" s="31"/>
    </x:row>
    <x:row r="2">
      <x:c r="A2" s="42" t="str">
        <x:v>Version 3 | Model date: 21 Aug 2026 | Proposed structure — management and securities counsel review required</x:v>
      </x:c>
      <x:c r="B2" s="42"/>
      <x:c r="C2" s="42"/>
      <x:c r="D2" s="42"/>
      <x:c r="E2" s="42"/>
      <x:c r="F2" s="42"/>
      <x:c r="G2" s="42"/>
      <x:c r="H2" s="42"/>
      <x:c r="I2" s="42"/>
      <x:c r="J2" s="42"/>
      <x:c r="K2" s="42"/>
      <x:c r="L2" s="42"/>
      <x:c r="M2" s="42"/>
      <x:c r="N2" s="42"/>
      <x:c r="O2" s="42"/>
      <x:c r="P2" s="42"/>
      <x:c r="Q2" s="42"/>
      <x:c r="R2" s="42"/>
      <x:c r="S2" s="42"/>
      <x:c r="T2" s="42"/>
      <x:c r="U2" s="42"/>
      <x:c r="V2" s="42"/>
      <x:c r="W2" s="42"/>
      <x:c r="X2" s="42"/>
      <x:c r="Y2" s="42"/>
      <x:c r="Z2" s="42"/>
      <x:c r="AA2" s="42"/>
      <x:c r="AB2" s="42"/>
      <x:c r="AC2" s="42"/>
      <x:c r="AD2" s="42"/>
      <x:c r="AE2" s="42"/>
      <x:c r="AF2" s="42"/>
      <x:c r="AG2" s="42"/>
      <x:c r="AH2" s="42"/>
      <x:c r="AI2" s="42"/>
      <x:c r="AJ2" s="42"/>
      <x:c r="AK2" s="42"/>
      <x:c r="AL2" s="42"/>
    </x:row>
    <x:row r="3">
      <x:c r="A3" s="43" t="str">
        <x:v>Income statement item</x:v>
      </x:c>
      <x:c r="B3" s="50" t="n">
        <x:v>46357</x:v>
      </x:c>
      <x:c r="C3" s="50" t="n">
        <x:v>46388</x:v>
      </x:c>
      <x:c r="D3" s="50" t="n">
        <x:v>46419</x:v>
      </x:c>
      <x:c r="E3" s="50" t="n">
        <x:v>46447</x:v>
      </x:c>
      <x:c r="F3" s="50" t="n">
        <x:v>46478</x:v>
      </x:c>
      <x:c r="G3" s="50" t="n">
        <x:v>46508</x:v>
      </x:c>
      <x:c r="H3" s="50" t="n">
        <x:v>46539</x:v>
      </x:c>
      <x:c r="I3" s="50" t="n">
        <x:v>46569</x:v>
      </x:c>
      <x:c r="J3" s="50" t="n">
        <x:v>46600</x:v>
      </x:c>
      <x:c r="K3" s="50" t="n">
        <x:v>46631</x:v>
      </x:c>
      <x:c r="L3" s="50" t="n">
        <x:v>46661</x:v>
      </x:c>
      <x:c r="M3" s="50" t="n">
        <x:v>46692</x:v>
      </x:c>
      <x:c r="N3" s="50" t="n">
        <x:v>46722</x:v>
      </x:c>
      <x:c r="O3" s="50" t="n">
        <x:v>46753</x:v>
      </x:c>
      <x:c r="P3" s="50" t="n">
        <x:v>46784</x:v>
      </x:c>
      <x:c r="Q3" s="50" t="n">
        <x:v>46813</x:v>
      </x:c>
      <x:c r="R3" s="50" t="n">
        <x:v>46844</x:v>
      </x:c>
      <x:c r="S3" s="50" t="n">
        <x:v>46874</x:v>
      </x:c>
      <x:c r="T3" s="50" t="n">
        <x:v>46905</x:v>
      </x:c>
      <x:c r="U3" s="50" t="n">
        <x:v>46935</x:v>
      </x:c>
      <x:c r="V3" s="50" t="n">
        <x:v>46966</x:v>
      </x:c>
      <x:c r="W3" s="50" t="n">
        <x:v>46997</x:v>
      </x:c>
      <x:c r="X3" s="50" t="n">
        <x:v>47027</x:v>
      </x:c>
      <x:c r="Y3" s="50" t="n">
        <x:v>47058</x:v>
      </x:c>
      <x:c r="Z3" s="50" t="n">
        <x:v>47088</x:v>
      </x:c>
      <x:c r="AA3" s="50" t="n">
        <x:v>47119</x:v>
      </x:c>
      <x:c r="AB3" s="50" t="n">
        <x:v>47150</x:v>
      </x:c>
      <x:c r="AC3" s="50" t="n">
        <x:v>47178</x:v>
      </x:c>
      <x:c r="AD3" s="50" t="n">
        <x:v>47209</x:v>
      </x:c>
      <x:c r="AE3" s="50" t="n">
        <x:v>47239</x:v>
      </x:c>
      <x:c r="AF3" s="50" t="n">
        <x:v>47270</x:v>
      </x:c>
      <x:c r="AG3" s="50" t="n">
        <x:v>47300</x:v>
      </x:c>
      <x:c r="AH3" s="50" t="n">
        <x:v>47331</x:v>
      </x:c>
      <x:c r="AI3" s="50" t="n">
        <x:v>47362</x:v>
      </x:c>
      <x:c r="AJ3" s="50" t="n">
        <x:v>47392</x:v>
      </x:c>
      <x:c r="AK3" s="50" t="n">
        <x:v>47423</x:v>
      </x:c>
      <x:c r="AL3" s="50" t="n">
        <x:v>47453</x:v>
      </x:c>
    </x:row>
    <x:row r="4">
      <x:c r="A4" s="43" t="str">
        <x:v>Net Revenue</x:v>
      </x:c>
      <x:c r="B4" s="44" t="n">
        <x:f>'Revenue Model'!B12</x:f>
        <x:v>0</x:v>
      </x:c>
      <x:c r="C4" s="44" t="n">
        <x:f>'Revenue Model'!C12</x:f>
        <x:v>29400</x:v>
      </x:c>
      <x:c r="D4" s="44" t="n">
        <x:f>'Revenue Model'!D12</x:f>
        <x:v>58800</x:v>
      </x:c>
      <x:c r="E4" s="44" t="n">
        <x:f>'Revenue Model'!E12</x:f>
        <x:v>78400</x:v>
      </x:c>
      <x:c r="F4" s="44" t="n">
        <x:f>'Revenue Model'!F12</x:f>
        <x:v>98000</x:v>
      </x:c>
      <x:c r="G4" s="44" t="n">
        <x:f>'Revenue Model'!G12</x:f>
        <x:v>117600</x:v>
      </x:c>
      <x:c r="H4" s="44" t="n">
        <x:f>'Revenue Model'!H12</x:f>
        <x:v>117600</x:v>
      </x:c>
      <x:c r="I4" s="44" t="n">
        <x:f>'Revenue Model'!I12</x:f>
        <x:v>144060</x:v>
      </x:c>
      <x:c r="J4" s="44" t="n">
        <x:f>'Revenue Model'!J12</x:f>
        <x:v>144060</x:v>
      </x:c>
      <x:c r="K4" s="44" t="n">
        <x:f>'Revenue Model'!K12</x:f>
        <x:v>144060</x:v>
      </x:c>
      <x:c r="L4" s="44" t="n">
        <x:f>'Revenue Model'!L12</x:f>
        <x:v>144060</x:v>
      </x:c>
      <x:c r="M4" s="44" t="n">
        <x:f>'Revenue Model'!M12</x:f>
        <x:v>144060</x:v>
      </x:c>
      <x:c r="N4" s="44" t="n">
        <x:f>'Revenue Model'!N12</x:f>
        <x:v>144060</x:v>
      </x:c>
      <x:c r="O4" s="44" t="n">
        <x:f>'Revenue Model'!O12</x:f>
        <x:v>225814.05</x:v>
      </x:c>
      <x:c r="P4" s="44" t="n">
        <x:f>'Revenue Model'!P12</x:f>
        <x:v>225814.05</x:v>
      </x:c>
      <x:c r="Q4" s="44" t="n">
        <x:f>'Revenue Model'!Q12</x:f>
        <x:v>225814.05</x:v>
      </x:c>
      <x:c r="R4" s="44" t="n">
        <x:f>'Revenue Model'!R12</x:f>
        <x:v>225814.05</x:v>
      </x:c>
      <x:c r="S4" s="44" t="n">
        <x:f>'Revenue Model'!S12</x:f>
        <x:v>225814.05</x:v>
      </x:c>
      <x:c r="T4" s="44" t="n">
        <x:f>'Revenue Model'!T12</x:f>
        <x:v>225814.05</x:v>
      </x:c>
      <x:c r="U4" s="44" t="n">
        <x:f>'Revenue Model'!U12</x:f>
        <x:v>225814.05</x:v>
      </x:c>
      <x:c r="V4" s="44" t="n">
        <x:f>'Revenue Model'!V12</x:f>
        <x:v>225814.05</x:v>
      </x:c>
      <x:c r="W4" s="44" t="n">
        <x:f>'Revenue Model'!W12</x:f>
        <x:v>225814.05</x:v>
      </x:c>
      <x:c r="X4" s="44" t="n">
        <x:f>'Revenue Model'!X12</x:f>
        <x:v>225814.05</x:v>
      </x:c>
      <x:c r="Y4" s="44" t="n">
        <x:f>'Revenue Model'!Y12</x:f>
        <x:v>225814.05</x:v>
      </x:c>
      <x:c r="Z4" s="44" t="n">
        <x:f>'Revenue Model'!Z12</x:f>
        <x:v>225814.05</x:v>
      </x:c>
      <x:c r="AA4" s="44" t="n">
        <x:f>'Revenue Model'!AA12</x:f>
        <x:v>331193.94</x:v>
      </x:c>
      <x:c r="AB4" s="44" t="n">
        <x:f>'Revenue Model'!AB12</x:f>
        <x:v>331193.94</x:v>
      </x:c>
      <x:c r="AC4" s="44" t="n">
        <x:f>'Revenue Model'!AC12</x:f>
        <x:v>331193.94</x:v>
      </x:c>
      <x:c r="AD4" s="44" t="n">
        <x:f>'Revenue Model'!AD12</x:f>
        <x:v>331193.94</x:v>
      </x:c>
      <x:c r="AE4" s="44" t="n">
        <x:f>'Revenue Model'!AE12</x:f>
        <x:v>331193.94</x:v>
      </x:c>
      <x:c r="AF4" s="44" t="n">
        <x:f>'Revenue Model'!AF12</x:f>
        <x:v>331193.94</x:v>
      </x:c>
      <x:c r="AG4" s="44" t="n">
        <x:f>'Revenue Model'!AG12</x:f>
        <x:v>331193.94</x:v>
      </x:c>
      <x:c r="AH4" s="44" t="n">
        <x:f>'Revenue Model'!AH12</x:f>
        <x:v>331193.94</x:v>
      </x:c>
      <x:c r="AI4" s="44" t="n">
        <x:f>'Revenue Model'!AI12</x:f>
        <x:v>331193.94</x:v>
      </x:c>
      <x:c r="AJ4" s="44" t="n">
        <x:f>'Revenue Model'!AJ12</x:f>
        <x:v>331193.94</x:v>
      </x:c>
      <x:c r="AK4" s="44" t="n">
        <x:f>'Revenue Model'!AK12</x:f>
        <x:v>331193.94</x:v>
      </x:c>
      <x:c r="AL4" s="44" t="n">
        <x:f>'Revenue Model'!AL12</x:f>
        <x:v>331193.94</x:v>
      </x:c>
    </x:row>
    <x:row r="5">
      <x:c r="A5" s="43" t="str">
        <x:v>Direct Project Costs</x:v>
      </x:c>
      <x:c r="B5" s="44" t="n">
        <x:f>'Revenue Model'!B13</x:f>
        <x:v>0</x:v>
      </x:c>
      <x:c r="C5" s="44" t="n">
        <x:f>'Revenue Model'!C13</x:f>
        <x:v>-4500</x:v>
      </x:c>
      <x:c r="D5" s="44" t="n">
        <x:f>'Revenue Model'!D13</x:f>
        <x:v>-9000</x:v>
      </x:c>
      <x:c r="E5" s="44" t="n">
        <x:f>'Revenue Model'!E13</x:f>
        <x:v>-13000</x:v>
      </x:c>
      <x:c r="F5" s="44" t="n">
        <x:f>'Revenue Model'!F13</x:f>
        <x:v>-18000</x:v>
      </x:c>
      <x:c r="G5" s="44" t="n">
        <x:f>'Revenue Model'!G13</x:f>
        <x:v>-24000</x:v>
      </x:c>
      <x:c r="H5" s="44" t="n">
        <x:f>'Revenue Model'!H13</x:f>
        <x:v>-24000</x:v>
      </x:c>
      <x:c r="I5" s="44" t="n">
        <x:f>'Revenue Model'!I13</x:f>
        <x:v>-30600</x:v>
      </x:c>
      <x:c r="J5" s="44" t="n">
        <x:f>'Revenue Model'!J13</x:f>
        <x:v>-30600</x:v>
      </x:c>
      <x:c r="K5" s="44" t="n">
        <x:f>'Revenue Model'!K13</x:f>
        <x:v>-30600</x:v>
      </x:c>
      <x:c r="L5" s="44" t="n">
        <x:f>'Revenue Model'!L13</x:f>
        <x:v>-30600</x:v>
      </x:c>
      <x:c r="M5" s="44" t="n">
        <x:f>'Revenue Model'!M13</x:f>
        <x:v>-30600</x:v>
      </x:c>
      <x:c r="N5" s="44" t="n">
        <x:f>'Revenue Model'!N13</x:f>
        <x:v>-30600</x:v>
      </x:c>
      <x:c r="O5" s="44" t="n">
        <x:f>'Revenue Model'!O13</x:f>
        <x:v>-47965.5</x:v>
      </x:c>
      <x:c r="P5" s="44" t="n">
        <x:f>'Revenue Model'!P13</x:f>
        <x:v>-47965.5</x:v>
      </x:c>
      <x:c r="Q5" s="44" t="n">
        <x:f>'Revenue Model'!Q13</x:f>
        <x:v>-47965.5</x:v>
      </x:c>
      <x:c r="R5" s="44" t="n">
        <x:f>'Revenue Model'!R13</x:f>
        <x:v>-47965.5</x:v>
      </x:c>
      <x:c r="S5" s="44" t="n">
        <x:f>'Revenue Model'!S13</x:f>
        <x:v>-47965.5</x:v>
      </x:c>
      <x:c r="T5" s="44" t="n">
        <x:f>'Revenue Model'!T13</x:f>
        <x:v>-47965.5</x:v>
      </x:c>
      <x:c r="U5" s="44" t="n">
        <x:f>'Revenue Model'!U13</x:f>
        <x:v>-47965.5</x:v>
      </x:c>
      <x:c r="V5" s="44" t="n">
        <x:f>'Revenue Model'!V13</x:f>
        <x:v>-47965.5</x:v>
      </x:c>
      <x:c r="W5" s="44" t="n">
        <x:f>'Revenue Model'!W13</x:f>
        <x:v>-47965.5</x:v>
      </x:c>
      <x:c r="X5" s="44" t="n">
        <x:f>'Revenue Model'!X13</x:f>
        <x:v>-47965.5</x:v>
      </x:c>
      <x:c r="Y5" s="44" t="n">
        <x:f>'Revenue Model'!Y13</x:f>
        <x:v>-47965.5</x:v>
      </x:c>
      <x:c r="Z5" s="44" t="n">
        <x:f>'Revenue Model'!Z13</x:f>
        <x:v>-47965.5</x:v>
      </x:c>
      <x:c r="AA5" s="44" t="n">
        <x:f>'Revenue Model'!AA13</x:f>
        <x:v>-70349.4</x:v>
      </x:c>
      <x:c r="AB5" s="44" t="n">
        <x:f>'Revenue Model'!AB13</x:f>
        <x:v>-70349.4</x:v>
      </x:c>
      <x:c r="AC5" s="44" t="n">
        <x:f>'Revenue Model'!AC13</x:f>
        <x:v>-70349.4</x:v>
      </x:c>
      <x:c r="AD5" s="44" t="n">
        <x:f>'Revenue Model'!AD13</x:f>
        <x:v>-70349.4</x:v>
      </x:c>
      <x:c r="AE5" s="44" t="n">
        <x:f>'Revenue Model'!AE13</x:f>
        <x:v>-70349.4</x:v>
      </x:c>
      <x:c r="AF5" s="44" t="n">
        <x:f>'Revenue Model'!AF13</x:f>
        <x:v>-70349.4</x:v>
      </x:c>
      <x:c r="AG5" s="44" t="n">
        <x:f>'Revenue Model'!AG13</x:f>
        <x:v>-70349.4</x:v>
      </x:c>
      <x:c r="AH5" s="44" t="n">
        <x:f>'Revenue Model'!AH13</x:f>
        <x:v>-70349.4</x:v>
      </x:c>
      <x:c r="AI5" s="44" t="n">
        <x:f>'Revenue Model'!AI13</x:f>
        <x:v>-70349.4</x:v>
      </x:c>
      <x:c r="AJ5" s="44" t="n">
        <x:f>'Revenue Model'!AJ13</x:f>
        <x:v>-70349.4</x:v>
      </x:c>
      <x:c r="AK5" s="44" t="n">
        <x:f>'Revenue Model'!AK13</x:f>
        <x:v>-70349.4</x:v>
      </x:c>
      <x:c r="AL5" s="44" t="n">
        <x:f>'Revenue Model'!AL13</x:f>
        <x:v>-70349.4</x:v>
      </x:c>
    </x:row>
    <x:row r="6">
      <x:c r="A6" s="51" t="str">
        <x:v>Gross Contribution</x:v>
      </x:c>
      <x:c r="B6" s="52" t="n">
        <x:f>SUM(B4:B5)</x:f>
        <x:v>0</x:v>
      </x:c>
      <x:c r="C6" s="52" t="n">
        <x:f>SUM(C4:C5)</x:f>
        <x:v>24900</x:v>
      </x:c>
      <x:c r="D6" s="52" t="n">
        <x:f>SUM(D4:D5)</x:f>
        <x:v>49800</x:v>
      </x:c>
      <x:c r="E6" s="52" t="n">
        <x:f>SUM(E4:E5)</x:f>
        <x:v>65400</x:v>
      </x:c>
      <x:c r="F6" s="52" t="n">
        <x:f>SUM(F4:F5)</x:f>
        <x:v>80000</x:v>
      </x:c>
      <x:c r="G6" s="52" t="n">
        <x:f>SUM(G4:G5)</x:f>
        <x:v>93600</x:v>
      </x:c>
      <x:c r="H6" s="52" t="n">
        <x:f>SUM(H4:H5)</x:f>
        <x:v>93600</x:v>
      </x:c>
      <x:c r="I6" s="52" t="n">
        <x:f>SUM(I4:I5)</x:f>
        <x:v>113460</x:v>
      </x:c>
      <x:c r="J6" s="52" t="n">
        <x:f>SUM(J4:J5)</x:f>
        <x:v>113460</x:v>
      </x:c>
      <x:c r="K6" s="52" t="n">
        <x:f>SUM(K4:K5)</x:f>
        <x:v>113460</x:v>
      </x:c>
      <x:c r="L6" s="52" t="n">
        <x:f>SUM(L4:L5)</x:f>
        <x:v>113460</x:v>
      </x:c>
      <x:c r="M6" s="52" t="n">
        <x:f>SUM(M4:M5)</x:f>
        <x:v>113460</x:v>
      </x:c>
      <x:c r="N6" s="52" t="n">
        <x:f>SUM(N4:N5)</x:f>
        <x:v>113460</x:v>
      </x:c>
      <x:c r="O6" s="52" t="n">
        <x:f>SUM(O4:O5)</x:f>
        <x:v>177848.55</x:v>
      </x:c>
      <x:c r="P6" s="52" t="n">
        <x:f>SUM(P4:P5)</x:f>
        <x:v>177848.55</x:v>
      </x:c>
      <x:c r="Q6" s="52" t="n">
        <x:f>SUM(Q4:Q5)</x:f>
        <x:v>177848.55</x:v>
      </x:c>
      <x:c r="R6" s="52" t="n">
        <x:f>SUM(R4:R5)</x:f>
        <x:v>177848.55</x:v>
      </x:c>
      <x:c r="S6" s="52" t="n">
        <x:f>SUM(S4:S5)</x:f>
        <x:v>177848.55</x:v>
      </x:c>
      <x:c r="T6" s="52" t="n">
        <x:f>SUM(T4:T5)</x:f>
        <x:v>177848.55</x:v>
      </x:c>
      <x:c r="U6" s="52" t="n">
        <x:f>SUM(U4:U5)</x:f>
        <x:v>177848.55</x:v>
      </x:c>
      <x:c r="V6" s="52" t="n">
        <x:f>SUM(V4:V5)</x:f>
        <x:v>177848.55</x:v>
      </x:c>
      <x:c r="W6" s="52" t="n">
        <x:f>SUM(W4:W5)</x:f>
        <x:v>177848.55</x:v>
      </x:c>
      <x:c r="X6" s="52" t="n">
        <x:f>SUM(X4:X5)</x:f>
        <x:v>177848.55</x:v>
      </x:c>
      <x:c r="Y6" s="52" t="n">
        <x:f>SUM(Y4:Y5)</x:f>
        <x:v>177848.55</x:v>
      </x:c>
      <x:c r="Z6" s="52" t="n">
        <x:f>SUM(Z4:Z5)</x:f>
        <x:v>177848.55</x:v>
      </x:c>
      <x:c r="AA6" s="52" t="n">
        <x:f>SUM(AA4:AA5)</x:f>
        <x:v>260844.54</x:v>
      </x:c>
      <x:c r="AB6" s="52" t="n">
        <x:f>SUM(AB4:AB5)</x:f>
        <x:v>260844.54</x:v>
      </x:c>
      <x:c r="AC6" s="52" t="n">
        <x:f>SUM(AC4:AC5)</x:f>
        <x:v>260844.54</x:v>
      </x:c>
      <x:c r="AD6" s="52" t="n">
        <x:f>SUM(AD4:AD5)</x:f>
        <x:v>260844.54</x:v>
      </x:c>
      <x:c r="AE6" s="52" t="n">
        <x:f>SUM(AE4:AE5)</x:f>
        <x:v>260844.54</x:v>
      </x:c>
      <x:c r="AF6" s="52" t="n">
        <x:f>SUM(AF4:AF5)</x:f>
        <x:v>260844.54</x:v>
      </x:c>
      <x:c r="AG6" s="52" t="n">
        <x:f>SUM(AG4:AG5)</x:f>
        <x:v>260844.54</x:v>
      </x:c>
      <x:c r="AH6" s="52" t="n">
        <x:f>SUM(AH4:AH5)</x:f>
        <x:v>260844.54</x:v>
      </x:c>
      <x:c r="AI6" s="52" t="n">
        <x:f>SUM(AI4:AI5)</x:f>
        <x:v>260844.54</x:v>
      </x:c>
      <x:c r="AJ6" s="52" t="n">
        <x:f>SUM(AJ4:AJ5)</x:f>
        <x:v>260844.54</x:v>
      </x:c>
      <x:c r="AK6" s="52" t="n">
        <x:f>SUM(AK4:AK5)</x:f>
        <x:v>260844.54</x:v>
      </x:c>
      <x:c r="AL6" s="52" t="n">
        <x:f>SUM(AL4:AL5)</x:f>
        <x:v>260844.54</x:v>
      </x:c>
    </x:row>
    <x:row r="7">
      <x:c r="A7" s="43" t="str">
        <x:v>Operating Expenses</x:v>
      </x:c>
      <x:c r="B7" s="44" t="n">
        <x:f>'Operating Model'!B13</x:f>
        <x:v>-42500</x:v>
      </x:c>
      <x:c r="C7" s="44" t="n">
        <x:f>'Operating Model'!C13</x:f>
        <x:v>-128300</x:v>
      </x:c>
      <x:c r="D7" s="44" t="n">
        <x:f>'Operating Model'!D13</x:f>
        <x:v>-128300</x:v>
      </x:c>
      <x:c r="E7" s="44" t="n">
        <x:f>'Operating Model'!E13</x:f>
        <x:v>-128300</x:v>
      </x:c>
      <x:c r="F7" s="44" t="n">
        <x:f>'Operating Model'!F13</x:f>
        <x:v>-128300</x:v>
      </x:c>
      <x:c r="G7" s="44" t="n">
        <x:f>'Operating Model'!G13</x:f>
        <x:v>-128300</x:v>
      </x:c>
      <x:c r="H7" s="44" t="n">
        <x:f>'Operating Model'!H13</x:f>
        <x:v>-128300</x:v>
      </x:c>
      <x:c r="I7" s="44" t="n">
        <x:f>'Operating Model'!I13</x:f>
        <x:v>-128300</x:v>
      </x:c>
      <x:c r="J7" s="44" t="n">
        <x:f>'Operating Model'!J13</x:f>
        <x:v>-128300</x:v>
      </x:c>
      <x:c r="K7" s="44" t="n">
        <x:f>'Operating Model'!K13</x:f>
        <x:v>-128300</x:v>
      </x:c>
      <x:c r="L7" s="44" t="n">
        <x:f>'Operating Model'!L13</x:f>
        <x:v>-128300</x:v>
      </x:c>
      <x:c r="M7" s="44" t="n">
        <x:f>'Operating Model'!M13</x:f>
        <x:v>-128300</x:v>
      </x:c>
      <x:c r="N7" s="44" t="n">
        <x:f>'Operating Model'!N13</x:f>
        <x:v>-128700</x:v>
      </x:c>
      <x:c r="O7" s="44" t="n">
        <x:f>'Operating Model'!O13</x:f>
        <x:v>-141300</x:v>
      </x:c>
      <x:c r="P7" s="44" t="n">
        <x:f>'Operating Model'!P13</x:f>
        <x:v>-141300</x:v>
      </x:c>
      <x:c r="Q7" s="44" t="n">
        <x:f>'Operating Model'!Q13</x:f>
        <x:v>-141300</x:v>
      </x:c>
      <x:c r="R7" s="44" t="n">
        <x:f>'Operating Model'!R13</x:f>
        <x:v>-141300</x:v>
      </x:c>
      <x:c r="S7" s="44" t="n">
        <x:f>'Operating Model'!S13</x:f>
        <x:v>-141300</x:v>
      </x:c>
      <x:c r="T7" s="44" t="n">
        <x:f>'Operating Model'!T13</x:f>
        <x:v>-141300</x:v>
      </x:c>
      <x:c r="U7" s="44" t="n">
        <x:f>'Operating Model'!U13</x:f>
        <x:v>-141300</x:v>
      </x:c>
      <x:c r="V7" s="44" t="n">
        <x:f>'Operating Model'!V13</x:f>
        <x:v>-141300</x:v>
      </x:c>
      <x:c r="W7" s="44" t="n">
        <x:f>'Operating Model'!W13</x:f>
        <x:v>-141300</x:v>
      </x:c>
      <x:c r="X7" s="44" t="n">
        <x:f>'Operating Model'!X13</x:f>
        <x:v>-141300</x:v>
      </x:c>
      <x:c r="Y7" s="44" t="n">
        <x:f>'Operating Model'!Y13</x:f>
        <x:v>-141300</x:v>
      </x:c>
      <x:c r="Z7" s="44" t="n">
        <x:f>'Operating Model'!Z13</x:f>
        <x:v>-139700.0000000001</x:v>
      </x:c>
      <x:c r="AA7" s="44" t="n">
        <x:f>'Operating Model'!AA13</x:f>
        <x:v>-155300</x:v>
      </x:c>
      <x:c r="AB7" s="44" t="n">
        <x:f>'Operating Model'!AB13</x:f>
        <x:v>-155300</x:v>
      </x:c>
      <x:c r="AC7" s="44" t="n">
        <x:f>'Operating Model'!AC13</x:f>
        <x:v>-155300</x:v>
      </x:c>
      <x:c r="AD7" s="44" t="n">
        <x:f>'Operating Model'!AD13</x:f>
        <x:v>-155300</x:v>
      </x:c>
      <x:c r="AE7" s="44" t="n">
        <x:f>'Operating Model'!AE13</x:f>
        <x:v>-155300</x:v>
      </x:c>
      <x:c r="AF7" s="44" t="n">
        <x:f>'Operating Model'!AF13</x:f>
        <x:v>-155300</x:v>
      </x:c>
      <x:c r="AG7" s="44" t="n">
        <x:f>'Operating Model'!AG13</x:f>
        <x:v>-155300</x:v>
      </x:c>
      <x:c r="AH7" s="44" t="n">
        <x:f>'Operating Model'!AH13</x:f>
        <x:v>-155300</x:v>
      </x:c>
      <x:c r="AI7" s="44" t="n">
        <x:f>'Operating Model'!AI13</x:f>
        <x:v>-155300</x:v>
      </x:c>
      <x:c r="AJ7" s="44" t="n">
        <x:f>'Operating Model'!AJ13</x:f>
        <x:v>-155300</x:v>
      </x:c>
      <x:c r="AK7" s="44" t="n">
        <x:f>'Operating Model'!AK13</x:f>
        <x:v>-155300</x:v>
      </x:c>
      <x:c r="AL7" s="44" t="n">
        <x:f>'Operating Model'!AL13</x:f>
        <x:v>-155100.0000000003</x:v>
      </x:c>
    </x:row>
    <x:row r="8">
      <x:c r="A8" s="51" t="str">
        <x:v>Operating Income</x:v>
      </x:c>
      <x:c r="B8" s="52" t="n">
        <x:f>SUM(B6:B7)</x:f>
        <x:v>-42500</x:v>
      </x:c>
      <x:c r="C8" s="52" t="n">
        <x:f>SUM(C6:C7)</x:f>
        <x:v>-103400</x:v>
      </x:c>
      <x:c r="D8" s="52" t="n">
        <x:f>SUM(D6:D7)</x:f>
        <x:v>-78500</x:v>
      </x:c>
      <x:c r="E8" s="52" t="n">
        <x:f>SUM(E6:E7)</x:f>
        <x:v>-62900</x:v>
      </x:c>
      <x:c r="F8" s="52" t="n">
        <x:f>SUM(F6:F7)</x:f>
        <x:v>-48300</x:v>
      </x:c>
      <x:c r="G8" s="52" t="n">
        <x:f>SUM(G6:G7)</x:f>
        <x:v>-34700</x:v>
      </x:c>
      <x:c r="H8" s="52" t="n">
        <x:f>SUM(H6:H7)</x:f>
        <x:v>-34700</x:v>
      </x:c>
      <x:c r="I8" s="52" t="n">
        <x:f>SUM(I6:I7)</x:f>
        <x:v>-14840</x:v>
      </x:c>
      <x:c r="J8" s="52" t="n">
        <x:f>SUM(J6:J7)</x:f>
        <x:v>-14840</x:v>
      </x:c>
      <x:c r="K8" s="52" t="n">
        <x:f>SUM(K6:K7)</x:f>
        <x:v>-14840</x:v>
      </x:c>
      <x:c r="L8" s="52" t="n">
        <x:f>SUM(L6:L7)</x:f>
        <x:v>-14840</x:v>
      </x:c>
      <x:c r="M8" s="52" t="n">
        <x:f>SUM(M6:M7)</x:f>
        <x:v>-14840</x:v>
      </x:c>
      <x:c r="N8" s="52" t="n">
        <x:f>SUM(N6:N7)</x:f>
        <x:v>-15240</x:v>
      </x:c>
      <x:c r="O8" s="52" t="n">
        <x:f>SUM(O6:O7)</x:f>
        <x:v>36548.54999999999</x:v>
      </x:c>
      <x:c r="P8" s="52" t="n">
        <x:f>SUM(P6:P7)</x:f>
        <x:v>36548.54999999999</x:v>
      </x:c>
      <x:c r="Q8" s="52" t="n">
        <x:f>SUM(Q6:Q7)</x:f>
        <x:v>36548.54999999999</x:v>
      </x:c>
      <x:c r="R8" s="52" t="n">
        <x:f>SUM(R6:R7)</x:f>
        <x:v>36548.54999999999</x:v>
      </x:c>
      <x:c r="S8" s="52" t="n">
        <x:f>SUM(S6:S7)</x:f>
        <x:v>36548.54999999999</x:v>
      </x:c>
      <x:c r="T8" s="52" t="n">
        <x:f>SUM(T6:T7)</x:f>
        <x:v>36548.54999999999</x:v>
      </x:c>
      <x:c r="U8" s="52" t="n">
        <x:f>SUM(U6:U7)</x:f>
        <x:v>36548.54999999999</x:v>
      </x:c>
      <x:c r="V8" s="52" t="n">
        <x:f>SUM(V6:V7)</x:f>
        <x:v>36548.54999999999</x:v>
      </x:c>
      <x:c r="W8" s="52" t="n">
        <x:f>SUM(W6:W7)</x:f>
        <x:v>36548.54999999999</x:v>
      </x:c>
      <x:c r="X8" s="52" t="n">
        <x:f>SUM(X6:X7)</x:f>
        <x:v>36548.54999999999</x:v>
      </x:c>
      <x:c r="Y8" s="52" t="n">
        <x:f>SUM(Y6:Y7)</x:f>
        <x:v>36548.54999999999</x:v>
      </x:c>
      <x:c r="Z8" s="52" t="n">
        <x:f>SUM(Z6:Z7)</x:f>
        <x:v>38148.5499999999</x:v>
      </x:c>
      <x:c r="AA8" s="52" t="n">
        <x:f>SUM(AA6:AA7)</x:f>
        <x:v>105544.54000000001</x:v>
      </x:c>
      <x:c r="AB8" s="52" t="n">
        <x:f>SUM(AB6:AB7)</x:f>
        <x:v>105544.54000000001</x:v>
      </x:c>
      <x:c r="AC8" s="52" t="n">
        <x:f>SUM(AC6:AC7)</x:f>
        <x:v>105544.54000000001</x:v>
      </x:c>
      <x:c r="AD8" s="52" t="n">
        <x:f>SUM(AD6:AD7)</x:f>
        <x:v>105544.54000000001</x:v>
      </x:c>
      <x:c r="AE8" s="52" t="n">
        <x:f>SUM(AE6:AE7)</x:f>
        <x:v>105544.54000000001</x:v>
      </x:c>
      <x:c r="AF8" s="52" t="n">
        <x:f>SUM(AF6:AF7)</x:f>
        <x:v>105544.54000000001</x:v>
      </x:c>
      <x:c r="AG8" s="52" t="n">
        <x:f>SUM(AG6:AG7)</x:f>
        <x:v>105544.54000000001</x:v>
      </x:c>
      <x:c r="AH8" s="52" t="n">
        <x:f>SUM(AH6:AH7)</x:f>
        <x:v>105544.54000000001</x:v>
      </x:c>
      <x:c r="AI8" s="52" t="n">
        <x:f>SUM(AI6:AI7)</x:f>
        <x:v>105544.54000000001</x:v>
      </x:c>
      <x:c r="AJ8" s="52" t="n">
        <x:f>SUM(AJ6:AJ7)</x:f>
        <x:v>105544.54000000001</x:v>
      </x:c>
      <x:c r="AK8" s="52" t="n">
        <x:f>SUM(AK6:AK7)</x:f>
        <x:v>105544.54000000001</x:v>
      </x:c>
      <x:c r="AL8" s="52" t="n">
        <x:f>SUM(AL6:AL7)</x:f>
        <x:v>105744.53999999972</x:v>
      </x:c>
    </x:row>
    <x:row r="9">
      <x:c r="A9" s="43" t="str">
        <x:v>Interest Expense (accrued)</x:v>
      </x:c>
      <x:c r="B9" s="44" t="n">
        <x:f>-SUM('Convertible Note'!E18,'Convertible Note'!E21)</x:f>
        <x:v>-1146.5753424657535</x:v>
      </x:c>
      <x:c r="C9" s="44" t="n">
        <x:f>-SUM('Convertible Note'!F18,'Convertible Note'!F21)</x:f>
        <x:v>-3439.72602739726</x:v>
      </x:c>
      <x:c r="D9" s="44" t="n">
        <x:f>-SUM('Convertible Note'!G18,'Convertible Note'!G21)</x:f>
        <x:v>-5178.0821917808225</x:v>
      </x:c>
      <x:c r="E9" s="44" t="n">
        <x:f>-SUM('Convertible Note'!H18,'Convertible Note'!H21)</x:f>
        <x:v>-7643.835616438356</x:v>
      </x:c>
      <x:c r="F9" s="44" t="n">
        <x:f>-SUM('Convertible Note'!I18,'Convertible Note'!I21)</x:f>
        <x:v>-9246.575342465752</x:v>
      </x:c>
      <x:c r="G9" s="44" t="n">
        <x:f>-SUM('Convertible Note'!J18,'Convertible Note'!J21)</x:f>
        <x:v>-11465.753424657534</x:v>
      </x:c>
      <x:c r="H9" s="44" t="n">
        <x:f>-SUM('Convertible Note'!K18,'Convertible Note'!K21)</x:f>
        <x:v>-12945.205479452055</x:v>
      </x:c>
      <x:c r="I9" s="44" t="n">
        <x:f>-SUM('Convertible Note'!L18,'Convertible Note'!L21)</x:f>
        <x:v>-15287.671232876712</x:v>
      </x:c>
      <x:c r="J9" s="44" t="n">
        <x:f>-SUM('Convertible Note'!M18,'Convertible Note'!M21)</x:f>
        <x:v>-17198.6301369863</x:v>
      </x:c>
      <x:c r="K9" s="44" t="n">
        <x:f>-SUM('Convertible Note'!N18,'Convertible Note'!N21)</x:f>
        <x:v>-18493.150684931512</x:v>
      </x:c>
      <x:c r="L9" s="44" t="n">
        <x:f>-SUM('Convertible Note'!O18,'Convertible Note'!O21)</x:f>
        <x:v>-21020.54794520548</x:v>
      </x:c>
      <x:c r="M9" s="44" t="n">
        <x:f>-SUM('Convertible Note'!P18,'Convertible Note'!P21)</x:f>
        <x:v>-22191.780821917808</x:v>
      </x:c>
      <x:c r="N9" s="44" t="n">
        <x:f>-SUM('Convertible Note'!Q18,'Convertible Note'!Q21)</x:f>
        <x:v>-22931.50684931507</x:v>
      </x:c>
      <x:c r="O9" s="44" t="n">
        <x:f>-SUM('Convertible Note'!R18,'Convertible Note'!R21)</x:f>
        <x:v>-22931.50684931507</x:v>
      </x:c>
      <x:c r="P9" s="44" t="n">
        <x:f>-SUM('Convertible Note'!S18,'Convertible Note'!S21)</x:f>
        <x:v>-21452.054794520544</x:v>
      </x:c>
      <x:c r="Q9" s="44" t="n">
        <x:f>-SUM('Convertible Note'!T18,'Convertible Note'!T21)</x:f>
        <x:v>-22931.50684931507</x:v>
      </x:c>
      <x:c r="R9" s="44" t="n">
        <x:f>-SUM('Convertible Note'!U18,'Convertible Note'!U21)</x:f>
        <x:v>-22191.780821917808</x:v>
      </x:c>
      <x:c r="S9" s="44" t="n">
        <x:f>-SUM('Convertible Note'!V18,'Convertible Note'!V21)</x:f>
        <x:v>-22931.50684931507</x:v>
      </x:c>
      <x:c r="T9" s="44" t="n">
        <x:f>-SUM('Convertible Note'!W18,'Convertible Note'!W21)</x:f>
        <x:v>-22191.780821917808</x:v>
      </x:c>
      <x:c r="U9" s="44" t="n">
        <x:f>-SUM('Convertible Note'!X18,'Convertible Note'!X21)</x:f>
        <x:v>-22931.50684931507</x:v>
      </x:c>
      <x:c r="V9" s="44" t="n">
        <x:f>-SUM('Convertible Note'!Y18,'Convertible Note'!Y21)</x:f>
        <x:v>-22931.50684931507</x:v>
      </x:c>
      <x:c r="W9" s="44" t="n">
        <x:f>-SUM('Convertible Note'!Z18,'Convertible Note'!Z21)</x:f>
        <x:v>-22191.780821917808</x:v>
      </x:c>
      <x:c r="X9" s="44" t="n">
        <x:f>-SUM('Convertible Note'!AA18,'Convertible Note'!AA21)</x:f>
        <x:v>-22931.50684931507</x:v>
      </x:c>
      <x:c r="Y9" s="44" t="n">
        <x:f>-SUM('Convertible Note'!AB18,'Convertible Note'!AB21)</x:f>
        <x:v>-22191.780821917808</x:v>
      </x:c>
      <x:c r="Z9" s="44" t="n">
        <x:f>-SUM('Convertible Note'!AC18,'Convertible Note'!AC21)</x:f>
        <x:v>-22931.50684931507</x:v>
      </x:c>
      <x:c r="AA9" s="44" t="n">
        <x:f>-SUM('Convertible Note'!AD18,'Convertible Note'!AD21)</x:f>
        <x:v>-22931.50684931507</x:v>
      </x:c>
      <x:c r="AB9" s="44" t="n">
        <x:f>-SUM('Convertible Note'!AE18,'Convertible Note'!AE21)</x:f>
        <x:v>-20712.32876712329</x:v>
      </x:c>
      <x:c r="AC9" s="44" t="n">
        <x:f>-SUM('Convertible Note'!AF18,'Convertible Note'!AF21)</x:f>
        <x:v>-22931.50684931507</x:v>
      </x:c>
      <x:c r="AD9" s="44" t="n">
        <x:f>-SUM('Convertible Note'!AG18,'Convertible Note'!AG21)</x:f>
        <x:v>-22191.780821917808</x:v>
      </x:c>
      <x:c r="AE9" s="44" t="n">
        <x:f>-SUM('Convertible Note'!AH18,'Convertible Note'!AH21)</x:f>
        <x:v>-22931.50684931507</x:v>
      </x:c>
      <x:c r="AF9" s="44" t="n">
        <x:f>-SUM('Convertible Note'!AI18,'Convertible Note'!AI21)</x:f>
        <x:v>-22191.780821917808</x:v>
      </x:c>
      <x:c r="AG9" s="44" t="n">
        <x:f>-SUM('Convertible Note'!AJ18,'Convertible Note'!AJ21)</x:f>
        <x:v>-22931.50684931507</x:v>
      </x:c>
      <x:c r="AH9" s="44" t="n">
        <x:f>-SUM('Convertible Note'!AK18,'Convertible Note'!AK21)</x:f>
        <x:v>-22931.50684931507</x:v>
      </x:c>
      <x:c r="AI9" s="44" t="n">
        <x:f>-SUM('Convertible Note'!AL18,'Convertible Note'!AL21)</x:f>
        <x:v>-22191.780821917808</x:v>
      </x:c>
      <x:c r="AJ9" s="44" t="n">
        <x:f>-SUM('Convertible Note'!AM18,'Convertible Note'!AM21)</x:f>
        <x:v>-22931.50684931507</x:v>
      </x:c>
      <x:c r="AK9" s="44" t="n">
        <x:f>-SUM('Convertible Note'!AN18,'Convertible Note'!AN21)</x:f>
        <x:v>-22191.780821917808</x:v>
      </x:c>
      <x:c r="AL9" s="44" t="n">
        <x:f>-SUM('Convertible Note'!AO18,'Convertible Note'!AO21)</x:f>
        <x:v>-22931.50684931507</x:v>
      </x:c>
    </x:row>
    <x:row r="10">
      <x:c r="A10" s="51" t="str">
        <x:v>Pre-Tax Income</x:v>
      </x:c>
      <x:c r="B10" s="52" t="n">
        <x:f>SUM(B8:B9)</x:f>
        <x:v>-43646.57534246575</x:v>
      </x:c>
      <x:c r="C10" s="52" t="n">
        <x:f>SUM(C8:C9)</x:f>
        <x:v>-106839.72602739726</x:v>
      </x:c>
      <x:c r="D10" s="52" t="n">
        <x:f>SUM(D8:D9)</x:f>
        <x:v>-83678.08219178082</x:v>
      </x:c>
      <x:c r="E10" s="52" t="n">
        <x:f>SUM(E8:E9)</x:f>
        <x:v>-70543.83561643836</x:v>
      </x:c>
      <x:c r="F10" s="52" t="n">
        <x:f>SUM(F8:F9)</x:f>
        <x:v>-57546.57534246575</x:v>
      </x:c>
      <x:c r="G10" s="52" t="n">
        <x:f>SUM(G8:G9)</x:f>
        <x:v>-46165.75342465754</x:v>
      </x:c>
      <x:c r="H10" s="52" t="n">
        <x:f>SUM(H8:H9)</x:f>
        <x:v>-47645.20547945205</x:v>
      </x:c>
      <x:c r="I10" s="52" t="n">
        <x:f>SUM(I8:I9)</x:f>
        <x:v>-30127.67123287671</x:v>
      </x:c>
      <x:c r="J10" s="52" t="n">
        <x:f>SUM(J8:J9)</x:f>
        <x:v>-32038.6301369863</x:v>
      </x:c>
      <x:c r="K10" s="52" t="n">
        <x:f>SUM(K8:K9)</x:f>
        <x:v>-33333.15068493151</x:v>
      </x:c>
      <x:c r="L10" s="52" t="n">
        <x:f>SUM(L8:L9)</x:f>
        <x:v>-35860.54794520548</x:v>
      </x:c>
      <x:c r="M10" s="52" t="n">
        <x:f>SUM(M8:M9)</x:f>
        <x:v>-37031.78082191781</x:v>
      </x:c>
      <x:c r="N10" s="52" t="n">
        <x:f>SUM(N8:N9)</x:f>
        <x:v>-38171.50684931507</x:v>
      </x:c>
      <x:c r="O10" s="52" t="n">
        <x:f>SUM(O8:O9)</x:f>
        <x:v>13617.04315068492</x:v>
      </x:c>
      <x:c r="P10" s="52" t="n">
        <x:f>SUM(P8:P9)</x:f>
        <x:v>15096.495205479445</x:v>
      </x:c>
      <x:c r="Q10" s="52" t="n">
        <x:f>SUM(Q8:Q9)</x:f>
        <x:v>13617.04315068492</x:v>
      </x:c>
      <x:c r="R10" s="52" t="n">
        <x:f>SUM(R8:R9)</x:f>
        <x:v>14356.76917808218</x:v>
      </x:c>
      <x:c r="S10" s="52" t="n">
        <x:f>SUM(S8:S9)</x:f>
        <x:v>13617.04315068492</x:v>
      </x:c>
      <x:c r="T10" s="52" t="n">
        <x:f>SUM(T8:T9)</x:f>
        <x:v>14356.76917808218</x:v>
      </x:c>
      <x:c r="U10" s="52" t="n">
        <x:f>SUM(U8:U9)</x:f>
        <x:v>13617.04315068492</x:v>
      </x:c>
      <x:c r="V10" s="52" t="n">
        <x:f>SUM(V8:V9)</x:f>
        <x:v>13617.04315068492</x:v>
      </x:c>
      <x:c r="W10" s="52" t="n">
        <x:f>SUM(W8:W9)</x:f>
        <x:v>14356.76917808218</x:v>
      </x:c>
      <x:c r="X10" s="52" t="n">
        <x:f>SUM(X8:X9)</x:f>
        <x:v>13617.04315068492</x:v>
      </x:c>
      <x:c r="Y10" s="52" t="n">
        <x:f>SUM(Y8:Y9)</x:f>
        <x:v>14356.76917808218</x:v>
      </x:c>
      <x:c r="Z10" s="52" t="n">
        <x:f>SUM(Z8:Z9)</x:f>
        <x:v>15217.043150684833</x:v>
      </x:c>
      <x:c r="AA10" s="52" t="n">
        <x:f>SUM(AA8:AA9)</x:f>
        <x:v>82613.03315068493</x:v>
      </x:c>
      <x:c r="AB10" s="52" t="n">
        <x:f>SUM(AB8:AB9)</x:f>
        <x:v>84832.21123287673</x:v>
      </x:c>
      <x:c r="AC10" s="52" t="n">
        <x:f>SUM(AC8:AC9)</x:f>
        <x:v>82613.03315068493</x:v>
      </x:c>
      <x:c r="AD10" s="52" t="n">
        <x:f>SUM(AD8:AD9)</x:f>
        <x:v>83352.7591780822</x:v>
      </x:c>
      <x:c r="AE10" s="52" t="n">
        <x:f>SUM(AE8:AE9)</x:f>
        <x:v>82613.03315068493</x:v>
      </x:c>
      <x:c r="AF10" s="52" t="n">
        <x:f>SUM(AF8:AF9)</x:f>
        <x:v>83352.7591780822</x:v>
      </x:c>
      <x:c r="AG10" s="52" t="n">
        <x:f>SUM(AG8:AG9)</x:f>
        <x:v>82613.03315068493</x:v>
      </x:c>
      <x:c r="AH10" s="52" t="n">
        <x:f>SUM(AH8:AH9)</x:f>
        <x:v>82613.03315068493</x:v>
      </x:c>
      <x:c r="AI10" s="52" t="n">
        <x:f>SUM(AI8:AI9)</x:f>
        <x:v>83352.7591780822</x:v>
      </x:c>
      <x:c r="AJ10" s="52" t="n">
        <x:f>SUM(AJ8:AJ9)</x:f>
        <x:v>82613.03315068493</x:v>
      </x:c>
      <x:c r="AK10" s="52" t="n">
        <x:f>SUM(AK8:AK9)</x:f>
        <x:v>83352.7591780822</x:v>
      </x:c>
      <x:c r="AL10" s="52" t="n">
        <x:f>SUM(AL8:AL9)</x:f>
        <x:v>82813.03315068464</x:v>
      </x:c>
    </x:row>
    <x:row r="11">
      <x:c r="A11" s="43" t="str">
        <x:v>Income Tax Provision</x:v>
      </x:c>
      <x:c r="B11" s="44" t="n">
        <x:f>-'Tax &amp; 163j'!B11</x:f>
        <x:v>0</x:v>
      </x:c>
      <x:c r="C11" s="44" t="n">
        <x:f>0</x:f>
        <x:v>0</x:v>
      </x:c>
      <x:c r="D11" s="44" t="n">
        <x:f>0</x:f>
        <x:v>0</x:v>
      </x:c>
      <x:c r="E11" s="44" t="n">
        <x:f>0</x:f>
        <x:v>0</x:v>
      </x:c>
      <x:c r="F11" s="44" t="n">
        <x:f>0</x:f>
        <x:v>0</x:v>
      </x:c>
      <x:c r="G11" s="44" t="n">
        <x:f>0</x:f>
        <x:v>0</x:v>
      </x:c>
      <x:c r="H11" s="44" t="n">
        <x:f>0</x:f>
        <x:v>0</x:v>
      </x:c>
      <x:c r="I11" s="44" t="n">
        <x:f>0</x:f>
        <x:v>0</x:v>
      </x:c>
      <x:c r="J11" s="44" t="n">
        <x:f>0</x:f>
        <x:v>0</x:v>
      </x:c>
      <x:c r="K11" s="44" t="n">
        <x:f>0</x:f>
        <x:v>0</x:v>
      </x:c>
      <x:c r="L11" s="44" t="n">
        <x:f>0</x:f>
        <x:v>0</x:v>
      </x:c>
      <x:c r="M11" s="44" t="n">
        <x:f>0</x:f>
        <x:v>0</x:v>
      </x:c>
      <x:c r="N11" s="44" t="n">
        <x:f>-'Tax &amp; 163j'!C11</x:f>
        <x:v>0</x:v>
      </x:c>
      <x:c r="O11" s="44" t="n">
        <x:f>0</x:f>
        <x:v>0</x:v>
      </x:c>
      <x:c r="P11" s="44" t="n">
        <x:f>0</x:f>
        <x:v>0</x:v>
      </x:c>
      <x:c r="Q11" s="44" t="n">
        <x:f>0</x:f>
        <x:v>0</x:v>
      </x:c>
      <x:c r="R11" s="44" t="n">
        <x:f>0</x:f>
        <x:v>0</x:v>
      </x:c>
      <x:c r="S11" s="44" t="n">
        <x:f>0</x:f>
        <x:v>0</x:v>
      </x:c>
      <x:c r="T11" s="44" t="n">
        <x:f>0</x:f>
        <x:v>0</x:v>
      </x:c>
      <x:c r="U11" s="44" t="n">
        <x:f>0</x:f>
        <x:v>0</x:v>
      </x:c>
      <x:c r="V11" s="44" t="n">
        <x:f>0</x:f>
        <x:v>0</x:v>
      </x:c>
      <x:c r="W11" s="44" t="n">
        <x:f>0</x:f>
        <x:v>0</x:v>
      </x:c>
      <x:c r="X11" s="44" t="n">
        <x:f>0</x:f>
        <x:v>0</x:v>
      </x:c>
      <x:c r="Y11" s="44" t="n">
        <x:f>0</x:f>
        <x:v>0</x:v>
      </x:c>
      <x:c r="Z11" s="44" t="n">
        <x:f>-'Tax &amp; 163j'!D11</x:f>
        <x:v>-80113.23319999996</x:v>
      </x:c>
      <x:c r="AA11" s="44" t="n">
        <x:f>0</x:f>
        <x:v>0</x:v>
      </x:c>
      <x:c r="AB11" s="44" t="n">
        <x:f>0</x:f>
        <x:v>0</x:v>
      </x:c>
      <x:c r="AC11" s="44" t="n">
        <x:f>0</x:f>
        <x:v>0</x:v>
      </x:c>
      <x:c r="AD11" s="44" t="n">
        <x:f>0</x:f>
        <x:v>0</x:v>
      </x:c>
      <x:c r="AE11" s="44" t="n">
        <x:f>0</x:f>
        <x:v>0</x:v>
      </x:c>
      <x:c r="AF11" s="44" t="n">
        <x:f>0</x:f>
        <x:v>0</x:v>
      </x:c>
      <x:c r="AG11" s="44" t="n">
        <x:f>0</x:f>
        <x:v>0</x:v>
      </x:c>
      <x:c r="AH11" s="44" t="n">
        <x:f>0</x:f>
        <x:v>0</x:v>
      </x:c>
      <x:c r="AI11" s="44" t="n">
        <x:f>0</x:f>
        <x:v>0</x:v>
      </x:c>
      <x:c r="AJ11" s="44" t="n">
        <x:f>0</x:f>
        <x:v>0</x:v>
      </x:c>
      <x:c r="AK11" s="44" t="n">
        <x:f>0</x:f>
        <x:v>0</x:v>
      </x:c>
      <x:c r="AL11" s="44" t="n">
        <x:f>-'Tax &amp; 163j'!E11</x:f>
        <x:v>-259150.96480000002</x:v>
      </x:c>
    </x:row>
    <x:row r="12">
      <x:c r="A12" s="51" t="str">
        <x:v>Net Income</x:v>
      </x:c>
      <x:c r="B12" s="52" t="n">
        <x:f>SUM(B10:B11)</x:f>
        <x:v>-43646.57534246575</x:v>
      </x:c>
      <x:c r="C12" s="52" t="n">
        <x:f>SUM(C10:C11)</x:f>
        <x:v>-106839.72602739726</x:v>
      </x:c>
      <x:c r="D12" s="52" t="n">
        <x:f>SUM(D10:D11)</x:f>
        <x:v>-83678.08219178082</x:v>
      </x:c>
      <x:c r="E12" s="52" t="n">
        <x:f>SUM(E10:E11)</x:f>
        <x:v>-70543.83561643836</x:v>
      </x:c>
      <x:c r="F12" s="52" t="n">
        <x:f>SUM(F10:F11)</x:f>
        <x:v>-57546.57534246575</x:v>
      </x:c>
      <x:c r="G12" s="52" t="n">
        <x:f>SUM(G10:G11)</x:f>
        <x:v>-46165.75342465754</x:v>
      </x:c>
      <x:c r="H12" s="52" t="n">
        <x:f>SUM(H10:H11)</x:f>
        <x:v>-47645.20547945205</x:v>
      </x:c>
      <x:c r="I12" s="52" t="n">
        <x:f>SUM(I10:I11)</x:f>
        <x:v>-30127.67123287671</x:v>
      </x:c>
      <x:c r="J12" s="52" t="n">
        <x:f>SUM(J10:J11)</x:f>
        <x:v>-32038.6301369863</x:v>
      </x:c>
      <x:c r="K12" s="52" t="n">
        <x:f>SUM(K10:K11)</x:f>
        <x:v>-33333.15068493151</x:v>
      </x:c>
      <x:c r="L12" s="52" t="n">
        <x:f>SUM(L10:L11)</x:f>
        <x:v>-35860.54794520548</x:v>
      </x:c>
      <x:c r="M12" s="52" t="n">
        <x:f>SUM(M10:M11)</x:f>
        <x:v>-37031.78082191781</x:v>
      </x:c>
      <x:c r="N12" s="52" t="n">
        <x:f>SUM(N10:N11)</x:f>
        <x:v>-38171.50684931507</x:v>
      </x:c>
      <x:c r="O12" s="52" t="n">
        <x:f>SUM(O10:O11)</x:f>
        <x:v>13617.04315068492</x:v>
      </x:c>
      <x:c r="P12" s="52" t="n">
        <x:f>SUM(P10:P11)</x:f>
        <x:v>15096.495205479445</x:v>
      </x:c>
      <x:c r="Q12" s="52" t="n">
        <x:f>SUM(Q10:Q11)</x:f>
        <x:v>13617.04315068492</x:v>
      </x:c>
      <x:c r="R12" s="52" t="n">
        <x:f>SUM(R10:R11)</x:f>
        <x:v>14356.76917808218</x:v>
      </x:c>
      <x:c r="S12" s="52" t="n">
        <x:f>SUM(S10:S11)</x:f>
        <x:v>13617.04315068492</x:v>
      </x:c>
      <x:c r="T12" s="52" t="n">
        <x:f>SUM(T10:T11)</x:f>
        <x:v>14356.76917808218</x:v>
      </x:c>
      <x:c r="U12" s="52" t="n">
        <x:f>SUM(U10:U11)</x:f>
        <x:v>13617.04315068492</x:v>
      </x:c>
      <x:c r="V12" s="52" t="n">
        <x:f>SUM(V10:V11)</x:f>
        <x:v>13617.04315068492</x:v>
      </x:c>
      <x:c r="W12" s="52" t="n">
        <x:f>SUM(W10:W11)</x:f>
        <x:v>14356.76917808218</x:v>
      </x:c>
      <x:c r="X12" s="52" t="n">
        <x:f>SUM(X10:X11)</x:f>
        <x:v>13617.04315068492</x:v>
      </x:c>
      <x:c r="Y12" s="52" t="n">
        <x:f>SUM(Y10:Y11)</x:f>
        <x:v>14356.76917808218</x:v>
      </x:c>
      <x:c r="Z12" s="52" t="n">
        <x:f>SUM(Z10:Z11)</x:f>
        <x:v>-64896.190049315126</x:v>
      </x:c>
      <x:c r="AA12" s="52" t="n">
        <x:f>SUM(AA10:AA11)</x:f>
        <x:v>82613.03315068493</x:v>
      </x:c>
      <x:c r="AB12" s="52" t="n">
        <x:f>SUM(AB10:AB11)</x:f>
        <x:v>84832.21123287673</x:v>
      </x:c>
      <x:c r="AC12" s="52" t="n">
        <x:f>SUM(AC10:AC11)</x:f>
        <x:v>82613.03315068493</x:v>
      </x:c>
      <x:c r="AD12" s="52" t="n">
        <x:f>SUM(AD10:AD11)</x:f>
        <x:v>83352.7591780822</x:v>
      </x:c>
      <x:c r="AE12" s="52" t="n">
        <x:f>SUM(AE10:AE11)</x:f>
        <x:v>82613.03315068493</x:v>
      </x:c>
      <x:c r="AF12" s="52" t="n">
        <x:f>SUM(AF10:AF11)</x:f>
        <x:v>83352.7591780822</x:v>
      </x:c>
      <x:c r="AG12" s="52" t="n">
        <x:f>SUM(AG10:AG11)</x:f>
        <x:v>82613.03315068493</x:v>
      </x:c>
      <x:c r="AH12" s="52" t="n">
        <x:f>SUM(AH10:AH11)</x:f>
        <x:v>82613.03315068493</x:v>
      </x:c>
      <x:c r="AI12" s="52" t="n">
        <x:f>SUM(AI10:AI11)</x:f>
        <x:v>83352.7591780822</x:v>
      </x:c>
      <x:c r="AJ12" s="52" t="n">
        <x:f>SUM(AJ10:AJ11)</x:f>
        <x:v>82613.03315068493</x:v>
      </x:c>
      <x:c r="AK12" s="52" t="n">
        <x:f>SUM(AK10:AK11)</x:f>
        <x:v>83352.7591780822</x:v>
      </x:c>
      <x:c r="AL12" s="52" t="n">
        <x:f>SUM(AL10:AL11)</x:f>
        <x:v>-176337.93164931537</x:v>
      </x:c>
    </x:row>
  </x:sheetData>
  <x:mergeCells>
    <x:mergeCell ref="A1:AL1"/>
    <x:mergeCell ref="A2:AL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s>
  <x:sheetData>
    <x:row r="1" ht="30" customHeight="1">
      <x:c r="A1" s="31" t="str">
        <x:v>SVT Nexus — Monthly Cash Flow and Liquidity</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c r="AA1" s="31"/>
      <x:c r="AB1" s="31"/>
      <x:c r="AC1" s="31"/>
      <x:c r="AD1" s="31"/>
      <x:c r="AE1" s="31"/>
      <x:c r="AF1" s="31"/>
      <x:c r="AG1" s="31"/>
      <x:c r="AH1" s="31"/>
      <x:c r="AI1" s="31"/>
      <x:c r="AJ1" s="31"/>
      <x:c r="AK1" s="31"/>
      <x:c r="AL1" s="31"/>
    </x:row>
    <x:row r="2">
      <x:c r="A2" s="42" t="str">
        <x:v>Version 3 | Model date: 21 Aug 2026 | Proposed structure — management and securities counsel review required</x:v>
      </x:c>
      <x:c r="B2" s="42"/>
      <x:c r="C2" s="42"/>
      <x:c r="D2" s="42"/>
      <x:c r="E2" s="42"/>
      <x:c r="F2" s="42"/>
      <x:c r="G2" s="42"/>
      <x:c r="H2" s="42"/>
      <x:c r="I2" s="42"/>
      <x:c r="J2" s="42"/>
      <x:c r="K2" s="42"/>
      <x:c r="L2" s="42"/>
      <x:c r="M2" s="42"/>
      <x:c r="N2" s="42"/>
      <x:c r="O2" s="42"/>
      <x:c r="P2" s="42"/>
      <x:c r="Q2" s="42"/>
      <x:c r="R2" s="42"/>
      <x:c r="S2" s="42"/>
      <x:c r="T2" s="42"/>
      <x:c r="U2" s="42"/>
      <x:c r="V2" s="42"/>
      <x:c r="W2" s="42"/>
      <x:c r="X2" s="42"/>
      <x:c r="Y2" s="42"/>
      <x:c r="Z2" s="42"/>
      <x:c r="AA2" s="42"/>
      <x:c r="AB2" s="42"/>
      <x:c r="AC2" s="42"/>
      <x:c r="AD2" s="42"/>
      <x:c r="AE2" s="42"/>
      <x:c r="AF2" s="42"/>
      <x:c r="AG2" s="42"/>
      <x:c r="AH2" s="42"/>
      <x:c r="AI2" s="42"/>
      <x:c r="AJ2" s="42"/>
      <x:c r="AK2" s="42"/>
      <x:c r="AL2" s="42"/>
    </x:row>
    <x:row r="3">
      <x:c r="A3" s="43" t="str">
        <x:v>Cash flow item</x:v>
      </x:c>
      <x:c r="B3" s="50" t="n">
        <x:v>46357</x:v>
      </x:c>
      <x:c r="C3" s="50" t="n">
        <x:v>46388</x:v>
      </x:c>
      <x:c r="D3" s="50" t="n">
        <x:v>46419</x:v>
      </x:c>
      <x:c r="E3" s="50" t="n">
        <x:v>46447</x:v>
      </x:c>
      <x:c r="F3" s="50" t="n">
        <x:v>46478</x:v>
      </x:c>
      <x:c r="G3" s="50" t="n">
        <x:v>46508</x:v>
      </x:c>
      <x:c r="H3" s="50" t="n">
        <x:v>46539</x:v>
      </x:c>
      <x:c r="I3" s="50" t="n">
        <x:v>46569</x:v>
      </x:c>
      <x:c r="J3" s="50" t="n">
        <x:v>46600</x:v>
      </x:c>
      <x:c r="K3" s="50" t="n">
        <x:v>46631</x:v>
      </x:c>
      <x:c r="L3" s="50" t="n">
        <x:v>46661</x:v>
      </x:c>
      <x:c r="M3" s="50" t="n">
        <x:v>46692</x:v>
      </x:c>
      <x:c r="N3" s="50" t="n">
        <x:v>46722</x:v>
      </x:c>
      <x:c r="O3" s="50" t="n">
        <x:v>46753</x:v>
      </x:c>
      <x:c r="P3" s="50" t="n">
        <x:v>46784</x:v>
      </x:c>
      <x:c r="Q3" s="50" t="n">
        <x:v>46813</x:v>
      </x:c>
      <x:c r="R3" s="50" t="n">
        <x:v>46844</x:v>
      </x:c>
      <x:c r="S3" s="50" t="n">
        <x:v>46874</x:v>
      </x:c>
      <x:c r="T3" s="50" t="n">
        <x:v>46905</x:v>
      </x:c>
      <x:c r="U3" s="50" t="n">
        <x:v>46935</x:v>
      </x:c>
      <x:c r="V3" s="50" t="n">
        <x:v>46966</x:v>
      </x:c>
      <x:c r="W3" s="50" t="n">
        <x:v>46997</x:v>
      </x:c>
      <x:c r="X3" s="50" t="n">
        <x:v>47027</x:v>
      </x:c>
      <x:c r="Y3" s="50" t="n">
        <x:v>47058</x:v>
      </x:c>
      <x:c r="Z3" s="50" t="n">
        <x:v>47088</x:v>
      </x:c>
      <x:c r="AA3" s="50" t="n">
        <x:v>47119</x:v>
      </x:c>
      <x:c r="AB3" s="50" t="n">
        <x:v>47150</x:v>
      </x:c>
      <x:c r="AC3" s="50" t="n">
        <x:v>47178</x:v>
      </x:c>
      <x:c r="AD3" s="50" t="n">
        <x:v>47209</x:v>
      </x:c>
      <x:c r="AE3" s="50" t="n">
        <x:v>47239</x:v>
      </x:c>
      <x:c r="AF3" s="50" t="n">
        <x:v>47270</x:v>
      </x:c>
      <x:c r="AG3" s="50" t="n">
        <x:v>47300</x:v>
      </x:c>
      <x:c r="AH3" s="50" t="n">
        <x:v>47331</x:v>
      </x:c>
      <x:c r="AI3" s="50" t="n">
        <x:v>47362</x:v>
      </x:c>
      <x:c r="AJ3" s="50" t="n">
        <x:v>47392</x:v>
      </x:c>
      <x:c r="AK3" s="50" t="n">
        <x:v>47423</x:v>
      </x:c>
      <x:c r="AL3" s="50" t="n">
        <x:v>47453</x:v>
      </x:c>
    </x:row>
    <x:row r="4">
      <x:c r="A4" s="43" t="str">
        <x:v>Beginning Cash</x:v>
      </x:c>
      <x:c r="B4" s="44" t="n">
        <x:f>0</x:f>
        <x:v>0</x:v>
      </x:c>
      <x:c r="C4" s="44" t="n">
        <x:f>B15</x:f>
        <x:v>106990.4109589041</x:v>
      </x:c>
      <x:c r="D4" s="44" t="n">
        <x:f>C15</x:f>
        <x:v>303590.4109589041</x:v>
      </x:c>
      <x:c r="E4" s="44" t="n">
        <x:f>D15</x:f>
        <x:v>525090.4109589041</x:v>
      </x:c>
      <x:c r="F4" s="44" t="n">
        <x:f>E15</x:f>
        <x:v>704963.01369863</x:v>
      </x:c>
      <x:c r="G4" s="44" t="n">
        <x:f>F15</x:f>
        <x:v>906663.01369863</x:v>
      </x:c>
      <x:c r="H4" s="44" t="n">
        <x:f>G15</x:f>
        <x:v>1121963.01369863</x:v>
      </x:c>
      <x:c r="I4" s="44" t="n">
        <x:f>H15</x:f>
        <x:v>1322304.109589041</x:v>
      </x:c>
      <x:c r="J4" s="44" t="n">
        <x:f>I15</x:f>
        <x:v>1557464.109589041</x:v>
      </x:c>
      <x:c r="K4" s="44" t="n">
        <x:f>J15</x:f>
        <x:v>1792624.109589041</x:v>
      </x:c>
      <x:c r="L4" s="44" t="n">
        <x:f>K15</x:f>
        <x:v>2005126.5753424657</x:v>
      </x:c>
      <x:c r="M4" s="44" t="n">
        <x:f>L15</x:f>
        <x:v>2240286.5753424657</x:v>
      </x:c>
      <x:c r="N4" s="44" t="n">
        <x:f>M15</x:f>
        <x:v>2475446.5753424657</x:v>
      </x:c>
      <x:c r="O4" s="44" t="n">
        <x:f>N15</x:f>
        <x:v>2430809.315068493</x:v>
      </x:c>
      <x:c r="P4" s="44" t="n">
        <x:f>O15</x:f>
        <x:v>2467357.865068493</x:v>
      </x:c>
      <x:c r="Q4" s="44" t="n">
        <x:f>P15</x:f>
        <x:v>2503906.4150684928</x:v>
      </x:c>
      <x:c r="R4" s="44" t="n">
        <x:f>Q15</x:f>
        <x:v>2510537.1568493145</x:v>
      </x:c>
      <x:c r="S4" s="44" t="n">
        <x:f>R15</x:f>
        <x:v>2547085.7068493143</x:v>
      </x:c>
      <x:c r="T4" s="44" t="n">
        <x:f>S15</x:f>
        <x:v>2583634.256849314</x:v>
      </x:c>
      <x:c r="U4" s="44" t="n">
        <x:f>T15</x:f>
        <x:v>2590264.998630136</x:v>
      </x:c>
      <x:c r="V4" s="44" t="n">
        <x:f>U15</x:f>
        <x:v>2626813.5486301356</x:v>
      </x:c>
      <x:c r="W4" s="44" t="n">
        <x:f>V15</x:f>
        <x:v>2663362.0986301354</x:v>
      </x:c>
      <x:c r="X4" s="44" t="n">
        <x:f>W15</x:f>
        <x:v>2669664.0732876696</x:v>
      </x:c>
      <x:c r="Y4" s="44" t="n">
        <x:f>X15</x:f>
        <x:v>2706212.6232876694</x:v>
      </x:c>
      <x:c r="Z4" s="44" t="n">
        <x:f>Y15</x:f>
        <x:v>2742761.173287669</x:v>
      </x:c>
      <x:c r="AA4" s="44" t="n">
        <x:f>Z15</x:f>
        <x:v>2670549.914745203</x:v>
      </x:c>
      <x:c r="AB4" s="44" t="n">
        <x:f>AA15</x:f>
        <x:v>2776094.4547452033</x:v>
      </x:c>
      <x:c r="AC4" s="44" t="n">
        <x:f>AB15</x:f>
        <x:v>2881638.9947452033</x:v>
      </x:c>
      <x:c r="AD4" s="44" t="n">
        <x:f>AC15</x:f>
        <x:v>2957594.4936493128</x:v>
      </x:c>
      <x:c r="AE4" s="44" t="n">
        <x:f>AD15</x:f>
        <x:v>3063139.033649313</x:v>
      </x:c>
      <x:c r="AF4" s="44" t="n">
        <x:f>AE15</x:f>
        <x:v>3168683.573649313</x:v>
      </x:c>
      <x:c r="AG4" s="44" t="n">
        <x:f>AF15</x:f>
        <x:v>3244310.3054301348</x:v>
      </x:c>
      <x:c r="AH4" s="44" t="n">
        <x:f>AG15</x:f>
        <x:v>3349854.845430135</x:v>
      </x:c>
      <x:c r="AI4" s="44" t="n">
        <x:f>AH15</x:f>
        <x:v>3455399.385430135</x:v>
      </x:c>
      <x:c r="AJ4" s="44" t="n">
        <x:f>AI15</x:f>
        <x:v>3530697.350087669</x:v>
      </x:c>
      <x:c r="AK4" s="44" t="n">
        <x:f>AJ15</x:f>
        <x:v>3636241.8900876692</x:v>
      </x:c>
      <x:c r="AL4" s="44" t="n">
        <x:f>AK15</x:f>
        <x:v>3741786.4300876693</x:v>
      </x:c>
    </x:row>
    <x:row r="5">
      <x:c r="A5" s="43" t="str">
        <x:v>Customer Collections</x:v>
      </x:c>
      <x:c r="B5" s="44" t="n">
        <x:f>'Revenue Model'!B12</x:f>
        <x:v>0</x:v>
      </x:c>
      <x:c r="C5" s="44" t="n">
        <x:f>'Revenue Model'!C12</x:f>
        <x:v>29400</x:v>
      </x:c>
      <x:c r="D5" s="44" t="n">
        <x:f>'Revenue Model'!D12</x:f>
        <x:v>58800</x:v>
      </x:c>
      <x:c r="E5" s="44" t="n">
        <x:f>'Revenue Model'!E12</x:f>
        <x:v>78400</x:v>
      </x:c>
      <x:c r="F5" s="44" t="n">
        <x:f>'Revenue Model'!F12</x:f>
        <x:v>98000</x:v>
      </x:c>
      <x:c r="G5" s="44" t="n">
        <x:f>'Revenue Model'!G12</x:f>
        <x:v>117600</x:v>
      </x:c>
      <x:c r="H5" s="44" t="n">
        <x:f>'Revenue Model'!H12</x:f>
        <x:v>117600</x:v>
      </x:c>
      <x:c r="I5" s="44" t="n">
        <x:f>'Revenue Model'!I12</x:f>
        <x:v>144060</x:v>
      </x:c>
      <x:c r="J5" s="44" t="n">
        <x:f>'Revenue Model'!J12</x:f>
        <x:v>144060</x:v>
      </x:c>
      <x:c r="K5" s="44" t="n">
        <x:f>'Revenue Model'!K12</x:f>
        <x:v>144060</x:v>
      </x:c>
      <x:c r="L5" s="44" t="n">
        <x:f>'Revenue Model'!L12</x:f>
        <x:v>144060</x:v>
      </x:c>
      <x:c r="M5" s="44" t="n">
        <x:f>'Revenue Model'!M12</x:f>
        <x:v>144060</x:v>
      </x:c>
      <x:c r="N5" s="44" t="n">
        <x:f>'Revenue Model'!N12</x:f>
        <x:v>144060</x:v>
      </x:c>
      <x:c r="O5" s="44" t="n">
        <x:f>'Revenue Model'!O12</x:f>
        <x:v>225814.05</x:v>
      </x:c>
      <x:c r="P5" s="44" t="n">
        <x:f>'Revenue Model'!P12</x:f>
        <x:v>225814.05</x:v>
      </x:c>
      <x:c r="Q5" s="44" t="n">
        <x:f>'Revenue Model'!Q12</x:f>
        <x:v>225814.05</x:v>
      </x:c>
      <x:c r="R5" s="44" t="n">
        <x:f>'Revenue Model'!R12</x:f>
        <x:v>225814.05</x:v>
      </x:c>
      <x:c r="S5" s="44" t="n">
        <x:f>'Revenue Model'!S12</x:f>
        <x:v>225814.05</x:v>
      </x:c>
      <x:c r="T5" s="44" t="n">
        <x:f>'Revenue Model'!T12</x:f>
        <x:v>225814.05</x:v>
      </x:c>
      <x:c r="U5" s="44" t="n">
        <x:f>'Revenue Model'!U12</x:f>
        <x:v>225814.05</x:v>
      </x:c>
      <x:c r="V5" s="44" t="n">
        <x:f>'Revenue Model'!V12</x:f>
        <x:v>225814.05</x:v>
      </x:c>
      <x:c r="W5" s="44" t="n">
        <x:f>'Revenue Model'!W12</x:f>
        <x:v>225814.05</x:v>
      </x:c>
      <x:c r="X5" s="44" t="n">
        <x:f>'Revenue Model'!X12</x:f>
        <x:v>225814.05</x:v>
      </x:c>
      <x:c r="Y5" s="44" t="n">
        <x:f>'Revenue Model'!Y12</x:f>
        <x:v>225814.05</x:v>
      </x:c>
      <x:c r="Z5" s="44" t="n">
        <x:f>'Revenue Model'!Z12</x:f>
        <x:v>225814.05</x:v>
      </x:c>
      <x:c r="AA5" s="44" t="n">
        <x:f>'Revenue Model'!AA12</x:f>
        <x:v>331193.94</x:v>
      </x:c>
      <x:c r="AB5" s="44" t="n">
        <x:f>'Revenue Model'!AB12</x:f>
        <x:v>331193.94</x:v>
      </x:c>
      <x:c r="AC5" s="44" t="n">
        <x:f>'Revenue Model'!AC12</x:f>
        <x:v>331193.94</x:v>
      </x:c>
      <x:c r="AD5" s="44" t="n">
        <x:f>'Revenue Model'!AD12</x:f>
        <x:v>331193.94</x:v>
      </x:c>
      <x:c r="AE5" s="44" t="n">
        <x:f>'Revenue Model'!AE12</x:f>
        <x:v>331193.94</x:v>
      </x:c>
      <x:c r="AF5" s="44" t="n">
        <x:f>'Revenue Model'!AF12</x:f>
        <x:v>331193.94</x:v>
      </x:c>
      <x:c r="AG5" s="44" t="n">
        <x:f>'Revenue Model'!AG12</x:f>
        <x:v>331193.94</x:v>
      </x:c>
      <x:c r="AH5" s="44" t="n">
        <x:f>'Revenue Model'!AH12</x:f>
        <x:v>331193.94</x:v>
      </x:c>
      <x:c r="AI5" s="44" t="n">
        <x:f>'Revenue Model'!AI12</x:f>
        <x:v>331193.94</x:v>
      </x:c>
      <x:c r="AJ5" s="44" t="n">
        <x:f>'Revenue Model'!AJ12</x:f>
        <x:v>331193.94</x:v>
      </x:c>
      <x:c r="AK5" s="44" t="n">
        <x:f>'Revenue Model'!AK12</x:f>
        <x:v>331193.94</x:v>
      </x:c>
      <x:c r="AL5" s="44" t="n">
        <x:f>'Revenue Model'!AL12</x:f>
        <x:v>331193.94</x:v>
      </x:c>
    </x:row>
    <x:row r="6">
      <x:c r="A6" s="43" t="str">
        <x:v>Direct Project Costs</x:v>
      </x:c>
      <x:c r="B6" s="44" t="n">
        <x:f>'Revenue Model'!B13</x:f>
        <x:v>0</x:v>
      </x:c>
      <x:c r="C6" s="44" t="n">
        <x:f>'Revenue Model'!C13</x:f>
        <x:v>-4500</x:v>
      </x:c>
      <x:c r="D6" s="44" t="n">
        <x:f>'Revenue Model'!D13</x:f>
        <x:v>-9000</x:v>
      </x:c>
      <x:c r="E6" s="44" t="n">
        <x:f>'Revenue Model'!E13</x:f>
        <x:v>-13000</x:v>
      </x:c>
      <x:c r="F6" s="44" t="n">
        <x:f>'Revenue Model'!F13</x:f>
        <x:v>-18000</x:v>
      </x:c>
      <x:c r="G6" s="44" t="n">
        <x:f>'Revenue Model'!G13</x:f>
        <x:v>-24000</x:v>
      </x:c>
      <x:c r="H6" s="44" t="n">
        <x:f>'Revenue Model'!H13</x:f>
        <x:v>-24000</x:v>
      </x:c>
      <x:c r="I6" s="44" t="n">
        <x:f>'Revenue Model'!I13</x:f>
        <x:v>-30600</x:v>
      </x:c>
      <x:c r="J6" s="44" t="n">
        <x:f>'Revenue Model'!J13</x:f>
        <x:v>-30600</x:v>
      </x:c>
      <x:c r="K6" s="44" t="n">
        <x:f>'Revenue Model'!K13</x:f>
        <x:v>-30600</x:v>
      </x:c>
      <x:c r="L6" s="44" t="n">
        <x:f>'Revenue Model'!L13</x:f>
        <x:v>-30600</x:v>
      </x:c>
      <x:c r="M6" s="44" t="n">
        <x:f>'Revenue Model'!M13</x:f>
        <x:v>-30600</x:v>
      </x:c>
      <x:c r="N6" s="44" t="n">
        <x:f>'Revenue Model'!N13</x:f>
        <x:v>-30600</x:v>
      </x:c>
      <x:c r="O6" s="44" t="n">
        <x:f>'Revenue Model'!O13</x:f>
        <x:v>-47965.5</x:v>
      </x:c>
      <x:c r="P6" s="44" t="n">
        <x:f>'Revenue Model'!P13</x:f>
        <x:v>-47965.5</x:v>
      </x:c>
      <x:c r="Q6" s="44" t="n">
        <x:f>'Revenue Model'!Q13</x:f>
        <x:v>-47965.5</x:v>
      </x:c>
      <x:c r="R6" s="44" t="n">
        <x:f>'Revenue Model'!R13</x:f>
        <x:v>-47965.5</x:v>
      </x:c>
      <x:c r="S6" s="44" t="n">
        <x:f>'Revenue Model'!S13</x:f>
        <x:v>-47965.5</x:v>
      </x:c>
      <x:c r="T6" s="44" t="n">
        <x:f>'Revenue Model'!T13</x:f>
        <x:v>-47965.5</x:v>
      </x:c>
      <x:c r="U6" s="44" t="n">
        <x:f>'Revenue Model'!U13</x:f>
        <x:v>-47965.5</x:v>
      </x:c>
      <x:c r="V6" s="44" t="n">
        <x:f>'Revenue Model'!V13</x:f>
        <x:v>-47965.5</x:v>
      </x:c>
      <x:c r="W6" s="44" t="n">
        <x:f>'Revenue Model'!W13</x:f>
        <x:v>-47965.5</x:v>
      </x:c>
      <x:c r="X6" s="44" t="n">
        <x:f>'Revenue Model'!X13</x:f>
        <x:v>-47965.5</x:v>
      </x:c>
      <x:c r="Y6" s="44" t="n">
        <x:f>'Revenue Model'!Y13</x:f>
        <x:v>-47965.5</x:v>
      </x:c>
      <x:c r="Z6" s="44" t="n">
        <x:f>'Revenue Model'!Z13</x:f>
        <x:v>-47965.5</x:v>
      </x:c>
      <x:c r="AA6" s="44" t="n">
        <x:f>'Revenue Model'!AA13</x:f>
        <x:v>-70349.4</x:v>
      </x:c>
      <x:c r="AB6" s="44" t="n">
        <x:f>'Revenue Model'!AB13</x:f>
        <x:v>-70349.4</x:v>
      </x:c>
      <x:c r="AC6" s="44" t="n">
        <x:f>'Revenue Model'!AC13</x:f>
        <x:v>-70349.4</x:v>
      </x:c>
      <x:c r="AD6" s="44" t="n">
        <x:f>'Revenue Model'!AD13</x:f>
        <x:v>-70349.4</x:v>
      </x:c>
      <x:c r="AE6" s="44" t="n">
        <x:f>'Revenue Model'!AE13</x:f>
        <x:v>-70349.4</x:v>
      </x:c>
      <x:c r="AF6" s="44" t="n">
        <x:f>'Revenue Model'!AF13</x:f>
        <x:v>-70349.4</x:v>
      </x:c>
      <x:c r="AG6" s="44" t="n">
        <x:f>'Revenue Model'!AG13</x:f>
        <x:v>-70349.4</x:v>
      </x:c>
      <x:c r="AH6" s="44" t="n">
        <x:f>'Revenue Model'!AH13</x:f>
        <x:v>-70349.4</x:v>
      </x:c>
      <x:c r="AI6" s="44" t="n">
        <x:f>'Revenue Model'!AI13</x:f>
        <x:v>-70349.4</x:v>
      </x:c>
      <x:c r="AJ6" s="44" t="n">
        <x:f>'Revenue Model'!AJ13</x:f>
        <x:v>-70349.4</x:v>
      </x:c>
      <x:c r="AK6" s="44" t="n">
        <x:f>'Revenue Model'!AK13</x:f>
        <x:v>-70349.4</x:v>
      </x:c>
      <x:c r="AL6" s="44" t="n">
        <x:f>'Revenue Model'!AL13</x:f>
        <x:v>-70349.4</x:v>
      </x:c>
    </x:row>
    <x:row r="7">
      <x:c r="A7" s="43" t="str">
        <x:v>Operating Expenses</x:v>
      </x:c>
      <x:c r="B7" s="44" t="n">
        <x:f>'Operating Model'!B13</x:f>
        <x:v>-42500</x:v>
      </x:c>
      <x:c r="C7" s="44" t="n">
        <x:f>'Operating Model'!C13</x:f>
        <x:v>-128300</x:v>
      </x:c>
      <x:c r="D7" s="44" t="n">
        <x:f>'Operating Model'!D13</x:f>
        <x:v>-128300</x:v>
      </x:c>
      <x:c r="E7" s="44" t="n">
        <x:f>'Operating Model'!E13</x:f>
        <x:v>-128300</x:v>
      </x:c>
      <x:c r="F7" s="44" t="n">
        <x:f>'Operating Model'!F13</x:f>
        <x:v>-128300</x:v>
      </x:c>
      <x:c r="G7" s="44" t="n">
        <x:f>'Operating Model'!G13</x:f>
        <x:v>-128300</x:v>
      </x:c>
      <x:c r="H7" s="44" t="n">
        <x:f>'Operating Model'!H13</x:f>
        <x:v>-128300</x:v>
      </x:c>
      <x:c r="I7" s="44" t="n">
        <x:f>'Operating Model'!I13</x:f>
        <x:v>-128300</x:v>
      </x:c>
      <x:c r="J7" s="44" t="n">
        <x:f>'Operating Model'!J13</x:f>
        <x:v>-128300</x:v>
      </x:c>
      <x:c r="K7" s="44" t="n">
        <x:f>'Operating Model'!K13</x:f>
        <x:v>-128300</x:v>
      </x:c>
      <x:c r="L7" s="44" t="n">
        <x:f>'Operating Model'!L13</x:f>
        <x:v>-128300</x:v>
      </x:c>
      <x:c r="M7" s="44" t="n">
        <x:f>'Operating Model'!M13</x:f>
        <x:v>-128300</x:v>
      </x:c>
      <x:c r="N7" s="44" t="n">
        <x:f>'Operating Model'!N13</x:f>
        <x:v>-128700</x:v>
      </x:c>
      <x:c r="O7" s="44" t="n">
        <x:f>'Operating Model'!O13</x:f>
        <x:v>-141300</x:v>
      </x:c>
      <x:c r="P7" s="44" t="n">
        <x:f>'Operating Model'!P13</x:f>
        <x:v>-141300</x:v>
      </x:c>
      <x:c r="Q7" s="44" t="n">
        <x:f>'Operating Model'!Q13</x:f>
        <x:v>-141300</x:v>
      </x:c>
      <x:c r="R7" s="44" t="n">
        <x:f>'Operating Model'!R13</x:f>
        <x:v>-141300</x:v>
      </x:c>
      <x:c r="S7" s="44" t="n">
        <x:f>'Operating Model'!S13</x:f>
        <x:v>-141300</x:v>
      </x:c>
      <x:c r="T7" s="44" t="n">
        <x:f>'Operating Model'!T13</x:f>
        <x:v>-141300</x:v>
      </x:c>
      <x:c r="U7" s="44" t="n">
        <x:f>'Operating Model'!U13</x:f>
        <x:v>-141300</x:v>
      </x:c>
      <x:c r="V7" s="44" t="n">
        <x:f>'Operating Model'!V13</x:f>
        <x:v>-141300</x:v>
      </x:c>
      <x:c r="W7" s="44" t="n">
        <x:f>'Operating Model'!W13</x:f>
        <x:v>-141300</x:v>
      </x:c>
      <x:c r="X7" s="44" t="n">
        <x:f>'Operating Model'!X13</x:f>
        <x:v>-141300</x:v>
      </x:c>
      <x:c r="Y7" s="44" t="n">
        <x:f>'Operating Model'!Y13</x:f>
        <x:v>-141300</x:v>
      </x:c>
      <x:c r="Z7" s="44" t="n">
        <x:f>'Operating Model'!Z13</x:f>
        <x:v>-139700.0000000001</x:v>
      </x:c>
      <x:c r="AA7" s="44" t="n">
        <x:f>'Operating Model'!AA13</x:f>
        <x:v>-155300</x:v>
      </x:c>
      <x:c r="AB7" s="44" t="n">
        <x:f>'Operating Model'!AB13</x:f>
        <x:v>-155300</x:v>
      </x:c>
      <x:c r="AC7" s="44" t="n">
        <x:f>'Operating Model'!AC13</x:f>
        <x:v>-155300</x:v>
      </x:c>
      <x:c r="AD7" s="44" t="n">
        <x:f>'Operating Model'!AD13</x:f>
        <x:v>-155300</x:v>
      </x:c>
      <x:c r="AE7" s="44" t="n">
        <x:f>'Operating Model'!AE13</x:f>
        <x:v>-155300</x:v>
      </x:c>
      <x:c r="AF7" s="44" t="n">
        <x:f>'Operating Model'!AF13</x:f>
        <x:v>-155300</x:v>
      </x:c>
      <x:c r="AG7" s="44" t="n">
        <x:f>'Operating Model'!AG13</x:f>
        <x:v>-155300</x:v>
      </x:c>
      <x:c r="AH7" s="44" t="n">
        <x:f>'Operating Model'!AH13</x:f>
        <x:v>-155300</x:v>
      </x:c>
      <x:c r="AI7" s="44" t="n">
        <x:f>'Operating Model'!AI13</x:f>
        <x:v>-155300</x:v>
      </x:c>
      <x:c r="AJ7" s="44" t="n">
        <x:f>'Operating Model'!AJ13</x:f>
        <x:v>-155300</x:v>
      </x:c>
      <x:c r="AK7" s="44" t="n">
        <x:f>'Operating Model'!AK13</x:f>
        <x:v>-155300</x:v>
      </x:c>
      <x:c r="AL7" s="44" t="n">
        <x:f>'Operating Model'!AL13</x:f>
        <x:v>-155100.0000000003</x:v>
      </x:c>
    </x:row>
    <x:row r="8">
      <x:c r="A8" s="51" t="str">
        <x:v>Operating Cash Flow (ex-financing, pre-tax)</x:v>
      </x:c>
      <x:c r="B8" s="52" t="n">
        <x:f>SUM(B5:B7)</x:f>
        <x:v>-42500</x:v>
      </x:c>
      <x:c r="C8" s="52" t="n">
        <x:f>SUM(C5:C7)</x:f>
        <x:v>-103400</x:v>
      </x:c>
      <x:c r="D8" s="52" t="n">
        <x:f>SUM(D5:D7)</x:f>
        <x:v>-78500</x:v>
      </x:c>
      <x:c r="E8" s="52" t="n">
        <x:f>SUM(E5:E7)</x:f>
        <x:v>-62900</x:v>
      </x:c>
      <x:c r="F8" s="52" t="n">
        <x:f>SUM(F5:F7)</x:f>
        <x:v>-48300</x:v>
      </x:c>
      <x:c r="G8" s="52" t="n">
        <x:f>SUM(G5:G7)</x:f>
        <x:v>-34700</x:v>
      </x:c>
      <x:c r="H8" s="52" t="n">
        <x:f>SUM(H5:H7)</x:f>
        <x:v>-34700</x:v>
      </x:c>
      <x:c r="I8" s="52" t="n">
        <x:f>SUM(I5:I7)</x:f>
        <x:v>-14840</x:v>
      </x:c>
      <x:c r="J8" s="52" t="n">
        <x:f>SUM(J5:J7)</x:f>
        <x:v>-14840</x:v>
      </x:c>
      <x:c r="K8" s="52" t="n">
        <x:f>SUM(K5:K7)</x:f>
        <x:v>-14840</x:v>
      </x:c>
      <x:c r="L8" s="52" t="n">
        <x:f>SUM(L5:L7)</x:f>
        <x:v>-14840</x:v>
      </x:c>
      <x:c r="M8" s="52" t="n">
        <x:f>SUM(M5:M7)</x:f>
        <x:v>-14840</x:v>
      </x:c>
      <x:c r="N8" s="52" t="n">
        <x:f>SUM(N5:N7)</x:f>
        <x:v>-15240</x:v>
      </x:c>
      <x:c r="O8" s="52" t="n">
        <x:f>SUM(O5:O7)</x:f>
        <x:v>36548.54999999999</x:v>
      </x:c>
      <x:c r="P8" s="52" t="n">
        <x:f>SUM(P5:P7)</x:f>
        <x:v>36548.54999999999</x:v>
      </x:c>
      <x:c r="Q8" s="52" t="n">
        <x:f>SUM(Q5:Q7)</x:f>
        <x:v>36548.54999999999</x:v>
      </x:c>
      <x:c r="R8" s="52" t="n">
        <x:f>SUM(R5:R7)</x:f>
        <x:v>36548.54999999999</x:v>
      </x:c>
      <x:c r="S8" s="52" t="n">
        <x:f>SUM(S5:S7)</x:f>
        <x:v>36548.54999999999</x:v>
      </x:c>
      <x:c r="T8" s="52" t="n">
        <x:f>SUM(T5:T7)</x:f>
        <x:v>36548.54999999999</x:v>
      </x:c>
      <x:c r="U8" s="52" t="n">
        <x:f>SUM(U5:U7)</x:f>
        <x:v>36548.54999999999</x:v>
      </x:c>
      <x:c r="V8" s="52" t="n">
        <x:f>SUM(V5:V7)</x:f>
        <x:v>36548.54999999999</x:v>
      </x:c>
      <x:c r="W8" s="52" t="n">
        <x:f>SUM(W5:W7)</x:f>
        <x:v>36548.54999999999</x:v>
      </x:c>
      <x:c r="X8" s="52" t="n">
        <x:f>SUM(X5:X7)</x:f>
        <x:v>36548.54999999999</x:v>
      </x:c>
      <x:c r="Y8" s="52" t="n">
        <x:f>SUM(Y5:Y7)</x:f>
        <x:v>36548.54999999999</x:v>
      </x:c>
      <x:c r="Z8" s="52" t="n">
        <x:f>SUM(Z5:Z7)</x:f>
        <x:v>38148.5499999999</x:v>
      </x:c>
      <x:c r="AA8" s="52" t="n">
        <x:f>SUM(AA5:AA7)</x:f>
        <x:v>105544.54000000001</x:v>
      </x:c>
      <x:c r="AB8" s="52" t="n">
        <x:f>SUM(AB5:AB7)</x:f>
        <x:v>105544.54000000001</x:v>
      </x:c>
      <x:c r="AC8" s="52" t="n">
        <x:f>SUM(AC5:AC7)</x:f>
        <x:v>105544.54000000001</x:v>
      </x:c>
      <x:c r="AD8" s="52" t="n">
        <x:f>SUM(AD5:AD7)</x:f>
        <x:v>105544.54000000001</x:v>
      </x:c>
      <x:c r="AE8" s="52" t="n">
        <x:f>SUM(AE5:AE7)</x:f>
        <x:v>105544.54000000001</x:v>
      </x:c>
      <x:c r="AF8" s="52" t="n">
        <x:f>SUM(AF5:AF7)</x:f>
        <x:v>105544.54000000001</x:v>
      </x:c>
      <x:c r="AG8" s="52" t="n">
        <x:f>SUM(AG5:AG7)</x:f>
        <x:v>105544.54000000001</x:v>
      </x:c>
      <x:c r="AH8" s="52" t="n">
        <x:f>SUM(AH5:AH7)</x:f>
        <x:v>105544.54000000001</x:v>
      </x:c>
      <x:c r="AI8" s="52" t="n">
        <x:f>SUM(AI5:AI7)</x:f>
        <x:v>105544.54000000001</x:v>
      </x:c>
      <x:c r="AJ8" s="52" t="n">
        <x:f>SUM(AJ5:AJ7)</x:f>
        <x:v>105544.54000000001</x:v>
      </x:c>
      <x:c r="AK8" s="52" t="n">
        <x:f>SUM(AK5:AK7)</x:f>
        <x:v>105544.54000000001</x:v>
      </x:c>
      <x:c r="AL8" s="52" t="n">
        <x:f>SUM(AL5:AL7)</x:f>
        <x:v>105744.53999999972</x:v>
      </x:c>
    </x:row>
    <x:row r="9">
      <x:c r="A9" s="43" t="str">
        <x:v>Income Tax Paid</x:v>
      </x:c>
      <x:c r="B9" s="44" t="n">
        <x:f>SUM('Income Statement'!B11:B11)</x:f>
        <x:v>0</x:v>
      </x:c>
      <x:c r="C9" s="44" t="n">
        <x:v>0</x:v>
      </x:c>
      <x:c r="D9" s="44" t="n">
        <x:v>0</x:v>
      </x:c>
      <x:c r="E9" s="44" t="n">
        <x:f>SUM('Income Statement'!C11:E11)</x:f>
        <x:v>0</x:v>
      </x:c>
      <x:c r="F9" s="44" t="n">
        <x:v>0</x:v>
      </x:c>
      <x:c r="G9" s="44" t="n">
        <x:v>0</x:v>
      </x:c>
      <x:c r="H9" s="44" t="n">
        <x:f>SUM('Income Statement'!F11:H11)</x:f>
        <x:v>0</x:v>
      </x:c>
      <x:c r="I9" s="44" t="n">
        <x:v>0</x:v>
      </x:c>
      <x:c r="J9" s="44" t="n">
        <x:v>0</x:v>
      </x:c>
      <x:c r="K9" s="44" t="n">
        <x:f>SUM('Income Statement'!I11:K11)</x:f>
        <x:v>0</x:v>
      </x:c>
      <x:c r="L9" s="44" t="n">
        <x:v>0</x:v>
      </x:c>
      <x:c r="M9" s="44" t="n">
        <x:v>0</x:v>
      </x:c>
      <x:c r="N9" s="44" t="n">
        <x:f>SUM('Income Statement'!L11:N11)</x:f>
        <x:v>0</x:v>
      </x:c>
      <x:c r="O9" s="44" t="n">
        <x:v>0</x:v>
      </x:c>
      <x:c r="P9" s="44" t="n">
        <x:v>0</x:v>
      </x:c>
      <x:c r="Q9" s="44" t="n">
        <x:f>SUM('Income Statement'!O11:Q11)</x:f>
        <x:v>0</x:v>
      </x:c>
      <x:c r="R9" s="44" t="n">
        <x:v>0</x:v>
      </x:c>
      <x:c r="S9" s="44" t="n">
        <x:v>0</x:v>
      </x:c>
      <x:c r="T9" s="44" t="n">
        <x:f>SUM('Income Statement'!R11:T11)</x:f>
        <x:v>0</x:v>
      </x:c>
      <x:c r="U9" s="44" t="n">
        <x:v>0</x:v>
      </x:c>
      <x:c r="V9" s="44" t="n">
        <x:v>0</x:v>
      </x:c>
      <x:c r="W9" s="44" t="n">
        <x:f>SUM('Income Statement'!U11:W11)</x:f>
        <x:v>0</x:v>
      </x:c>
      <x:c r="X9" s="44" t="n">
        <x:v>0</x:v>
      </x:c>
      <x:c r="Y9" s="44" t="n">
        <x:v>0</x:v>
      </x:c>
      <x:c r="Z9" s="44" t="n">
        <x:f>SUM('Income Statement'!X11:Z11)</x:f>
        <x:v>-80113.23319999996</x:v>
      </x:c>
      <x:c r="AA9" s="44" t="n">
        <x:v>0</x:v>
      </x:c>
      <x:c r="AB9" s="44" t="n">
        <x:v>0</x:v>
      </x:c>
      <x:c r="AC9" s="44" t="n">
        <x:f>SUM('Income Statement'!AA11:AC11)</x:f>
        <x:v>0</x:v>
      </x:c>
      <x:c r="AD9" s="44" t="n">
        <x:v>0</x:v>
      </x:c>
      <x:c r="AE9" s="44" t="n">
        <x:v>0</x:v>
      </x:c>
      <x:c r="AF9" s="44" t="n">
        <x:f>SUM('Income Statement'!AD11:AF11)</x:f>
        <x:v>0</x:v>
      </x:c>
      <x:c r="AG9" s="44" t="n">
        <x:v>0</x:v>
      </x:c>
      <x:c r="AH9" s="44" t="n">
        <x:v>0</x:v>
      </x:c>
      <x:c r="AI9" s="44" t="n">
        <x:f>SUM('Income Statement'!AG11:AI11)</x:f>
        <x:v>0</x:v>
      </x:c>
      <x:c r="AJ9" s="44" t="n">
        <x:v>0</x:v>
      </x:c>
      <x:c r="AK9" s="44" t="n">
        <x:v>0</x:v>
      </x:c>
      <x:c r="AL9" s="44" t="n">
        <x:f>SUM('Income Statement'!AJ11:AL11)</x:f>
        <x:v>-259150.96480000002</x:v>
      </x:c>
    </x:row>
    <x:row r="10">
      <x:c r="A10" s="51" t="str">
        <x:v>Operating Cash Flow (ex-financing, after-tax)</x:v>
      </x:c>
      <x:c r="B10" s="52" t="n">
        <x:f>SUM(B8:B9)</x:f>
        <x:v>-42500</x:v>
      </x:c>
      <x:c r="C10" s="52" t="n">
        <x:f>SUM(C8:C9)</x:f>
        <x:v>-103400</x:v>
      </x:c>
      <x:c r="D10" s="52" t="n">
        <x:f>SUM(D8:D9)</x:f>
        <x:v>-78500</x:v>
      </x:c>
      <x:c r="E10" s="52" t="n">
        <x:f>SUM(E8:E9)</x:f>
        <x:v>-62900</x:v>
      </x:c>
      <x:c r="F10" s="52" t="n">
        <x:f>SUM(F8:F9)</x:f>
        <x:v>-48300</x:v>
      </x:c>
      <x:c r="G10" s="52" t="n">
        <x:f>SUM(G8:G9)</x:f>
        <x:v>-34700</x:v>
      </x:c>
      <x:c r="H10" s="52" t="n">
        <x:f>SUM(H8:H9)</x:f>
        <x:v>-34700</x:v>
      </x:c>
      <x:c r="I10" s="52" t="n">
        <x:f>SUM(I8:I9)</x:f>
        <x:v>-14840</x:v>
      </x:c>
      <x:c r="J10" s="52" t="n">
        <x:f>SUM(J8:J9)</x:f>
        <x:v>-14840</x:v>
      </x:c>
      <x:c r="K10" s="52" t="n">
        <x:f>SUM(K8:K9)</x:f>
        <x:v>-14840</x:v>
      </x:c>
      <x:c r="L10" s="52" t="n">
        <x:f>SUM(L8:L9)</x:f>
        <x:v>-14840</x:v>
      </x:c>
      <x:c r="M10" s="52" t="n">
        <x:f>SUM(M8:M9)</x:f>
        <x:v>-14840</x:v>
      </x:c>
      <x:c r="N10" s="52" t="n">
        <x:f>SUM(N8:N9)</x:f>
        <x:v>-15240</x:v>
      </x:c>
      <x:c r="O10" s="52" t="n">
        <x:f>SUM(O8:O9)</x:f>
        <x:v>36548.54999999999</x:v>
      </x:c>
      <x:c r="P10" s="52" t="n">
        <x:f>SUM(P8:P9)</x:f>
        <x:v>36548.54999999999</x:v>
      </x:c>
      <x:c r="Q10" s="52" t="n">
        <x:f>SUM(Q8:Q9)</x:f>
        <x:v>36548.54999999999</x:v>
      </x:c>
      <x:c r="R10" s="52" t="n">
        <x:f>SUM(R8:R9)</x:f>
        <x:v>36548.54999999999</x:v>
      </x:c>
      <x:c r="S10" s="52" t="n">
        <x:f>SUM(S8:S9)</x:f>
        <x:v>36548.54999999999</x:v>
      </x:c>
      <x:c r="T10" s="52" t="n">
        <x:f>SUM(T8:T9)</x:f>
        <x:v>36548.54999999999</x:v>
      </x:c>
      <x:c r="U10" s="52" t="n">
        <x:f>SUM(U8:U9)</x:f>
        <x:v>36548.54999999999</x:v>
      </x:c>
      <x:c r="V10" s="52" t="n">
        <x:f>SUM(V8:V9)</x:f>
        <x:v>36548.54999999999</x:v>
      </x:c>
      <x:c r="W10" s="52" t="n">
        <x:f>SUM(W8:W9)</x:f>
        <x:v>36548.54999999999</x:v>
      </x:c>
      <x:c r="X10" s="52" t="n">
        <x:f>SUM(X8:X9)</x:f>
        <x:v>36548.54999999999</x:v>
      </x:c>
      <x:c r="Y10" s="52" t="n">
        <x:f>SUM(Y8:Y9)</x:f>
        <x:v>36548.54999999999</x:v>
      </x:c>
      <x:c r="Z10" s="52" t="n">
        <x:f>SUM(Z8:Z9)</x:f>
        <x:v>-41964.68320000006</x:v>
      </x:c>
      <x:c r="AA10" s="52" t="n">
        <x:f>SUM(AA8:AA9)</x:f>
        <x:v>105544.54000000001</x:v>
      </x:c>
      <x:c r="AB10" s="52" t="n">
        <x:f>SUM(AB8:AB9)</x:f>
        <x:v>105544.54000000001</x:v>
      </x:c>
      <x:c r="AC10" s="52" t="n">
        <x:f>SUM(AC8:AC9)</x:f>
        <x:v>105544.54000000001</x:v>
      </x:c>
      <x:c r="AD10" s="52" t="n">
        <x:f>SUM(AD8:AD9)</x:f>
        <x:v>105544.54000000001</x:v>
      </x:c>
      <x:c r="AE10" s="52" t="n">
        <x:f>SUM(AE8:AE9)</x:f>
        <x:v>105544.54000000001</x:v>
      </x:c>
      <x:c r="AF10" s="52" t="n">
        <x:f>SUM(AF8:AF9)</x:f>
        <x:v>105544.54000000001</x:v>
      </x:c>
      <x:c r="AG10" s="52" t="n">
        <x:f>SUM(AG8:AG9)</x:f>
        <x:v>105544.54000000001</x:v>
      </x:c>
      <x:c r="AH10" s="52" t="n">
        <x:f>SUM(AH8:AH9)</x:f>
        <x:v>105544.54000000001</x:v>
      </x:c>
      <x:c r="AI10" s="52" t="n">
        <x:f>SUM(AI8:AI9)</x:f>
        <x:v>105544.54000000001</x:v>
      </x:c>
      <x:c r="AJ10" s="52" t="n">
        <x:f>SUM(AJ8:AJ9)</x:f>
        <x:v>105544.54000000001</x:v>
      </x:c>
      <x:c r="AK10" s="52" t="n">
        <x:f>SUM(AK8:AK9)</x:f>
        <x:v>105544.54000000001</x:v>
      </x:c>
      <x:c r="AL10" s="52" t="n">
        <x:f>SUM(AL8:AL9)</x:f>
        <x:v>-153406.4248000003</x:v>
      </x:c>
    </x:row>
    <x:row r="11">
      <x:c r="A11" s="43" t="str">
        <x:v>Convertible Note Proceeds</x:v>
      </x:c>
      <x:c r="B11" s="44" t="n">
        <x:f>SUMIF('Convertible Note'!$B$5:$B$16,B$3,'Convertible Note'!$C$5:$C$16)</x:f>
        <x:v>150000</x:v>
      </x:c>
      <x:c r="C11" s="44" t="n">
        <x:f>SUMIF('Convertible Note'!$B$5:$B$16,C$3,'Convertible Note'!$C$5:$C$16)</x:f>
        <x:v>300000</x:v>
      </x:c>
      <x:c r="D11" s="44" t="n">
        <x:f>SUMIF('Convertible Note'!$B$5:$B$16,D$3,'Convertible Note'!$C$5:$C$16)</x:f>
        <x:v>300000</x:v>
      </x:c>
      <x:c r="E11" s="44" t="n">
        <x:f>SUMIF('Convertible Note'!$B$5:$B$16,E$3,'Convertible Note'!$C$5:$C$16)</x:f>
        <x:v>250000</x:v>
      </x:c>
      <x:c r="F11" s="44" t="n">
        <x:f>SUMIF('Convertible Note'!$B$5:$B$16,F$3,'Convertible Note'!$C$5:$C$16)</x:f>
        <x:v>250000</x:v>
      </x:c>
      <x:c r="G11" s="44" t="n">
        <x:f>SUMIF('Convertible Note'!$B$5:$B$16,G$3,'Convertible Note'!$C$5:$C$16)</x:f>
        <x:v>250000</x:v>
      </x:c>
      <x:c r="H11" s="44" t="n">
        <x:f>SUMIF('Convertible Note'!$B$5:$B$16,H$3,'Convertible Note'!$C$5:$C$16)</x:f>
        <x:v>250000</x:v>
      </x:c>
      <x:c r="I11" s="44" t="n">
        <x:f>SUMIF('Convertible Note'!$B$5:$B$16,I$3,'Convertible Note'!$C$5:$C$16)</x:f>
        <x:v>250000</x:v>
      </x:c>
      <x:c r="J11" s="44" t="n">
        <x:f>SUMIF('Convertible Note'!$B$5:$B$16,J$3,'Convertible Note'!$C$5:$C$16)</x:f>
        <x:v>250000</x:v>
      </x:c>
      <x:c r="K11" s="44" t="n">
        <x:f>SUMIF('Convertible Note'!$B$5:$B$16,K$3,'Convertible Note'!$C$5:$C$16)</x:f>
        <x:v>250000</x:v>
      </x:c>
      <x:c r="L11" s="44" t="n">
        <x:f>SUMIF('Convertible Note'!$B$5:$B$16,L$3,'Convertible Note'!$C$5:$C$16)</x:f>
        <x:v>250000</x:v>
      </x:c>
      <x:c r="M11" s="44" t="n">
        <x:f>SUMIF('Convertible Note'!$B$5:$B$16,M$3,'Convertible Note'!$C$5:$C$16)</x:f>
        <x:v>250000</x:v>
      </x:c>
      <x:c r="N11" s="44" t="n">
        <x:f>SUMIF('Convertible Note'!$B$5:$B$16,N$3,'Convertible Note'!$C$5:$C$16)</x:f>
        <x:v>0</x:v>
      </x:c>
      <x:c r="O11" s="44" t="n">
        <x:f>SUMIF('Convertible Note'!$B$5:$B$16,O$3,'Convertible Note'!$C$5:$C$16)</x:f>
        <x:v>0</x:v>
      </x:c>
      <x:c r="P11" s="44" t="n">
        <x:f>SUMIF('Convertible Note'!$B$5:$B$16,P$3,'Convertible Note'!$C$5:$C$16)</x:f>
        <x:v>0</x:v>
      </x:c>
      <x:c r="Q11" s="44" t="n">
        <x:f>SUMIF('Convertible Note'!$B$5:$B$16,Q$3,'Convertible Note'!$C$5:$C$16)</x:f>
        <x:v>0</x:v>
      </x:c>
      <x:c r="R11" s="44" t="n">
        <x:f>SUMIF('Convertible Note'!$B$5:$B$16,R$3,'Convertible Note'!$C$5:$C$16)</x:f>
        <x:v>0</x:v>
      </x:c>
      <x:c r="S11" s="44" t="n">
        <x:f>SUMIF('Convertible Note'!$B$5:$B$16,S$3,'Convertible Note'!$C$5:$C$16)</x:f>
        <x:v>0</x:v>
      </x:c>
      <x:c r="T11" s="44" t="n">
        <x:f>SUMIF('Convertible Note'!$B$5:$B$16,T$3,'Convertible Note'!$C$5:$C$16)</x:f>
        <x:v>0</x:v>
      </x:c>
      <x:c r="U11" s="44" t="n">
        <x:f>SUMIF('Convertible Note'!$B$5:$B$16,U$3,'Convertible Note'!$C$5:$C$16)</x:f>
        <x:v>0</x:v>
      </x:c>
      <x:c r="V11" s="44" t="n">
        <x:f>SUMIF('Convertible Note'!$B$5:$B$16,V$3,'Convertible Note'!$C$5:$C$16)</x:f>
        <x:v>0</x:v>
      </x:c>
      <x:c r="W11" s="44" t="n">
        <x:f>SUMIF('Convertible Note'!$B$5:$B$16,W$3,'Convertible Note'!$C$5:$C$16)</x:f>
        <x:v>0</x:v>
      </x:c>
      <x:c r="X11" s="44" t="n">
        <x:f>SUMIF('Convertible Note'!$B$5:$B$16,X$3,'Convertible Note'!$C$5:$C$16)</x:f>
        <x:v>0</x:v>
      </x:c>
      <x:c r="Y11" s="44" t="n">
        <x:f>SUMIF('Convertible Note'!$B$5:$B$16,Y$3,'Convertible Note'!$C$5:$C$16)</x:f>
        <x:v>0</x:v>
      </x:c>
      <x:c r="Z11" s="44" t="n">
        <x:f>SUMIF('Convertible Note'!$B$5:$B$16,Z$3,'Convertible Note'!$C$5:$C$16)</x:f>
        <x:v>0</x:v>
      </x:c>
      <x:c r="AA11" s="44" t="n">
        <x:f>SUMIF('Convertible Note'!$B$5:$B$16,AA$3,'Convertible Note'!$C$5:$C$16)</x:f>
        <x:v>0</x:v>
      </x:c>
      <x:c r="AB11" s="44" t="n">
        <x:f>SUMIF('Convertible Note'!$B$5:$B$16,AB$3,'Convertible Note'!$C$5:$C$16)</x:f>
        <x:v>0</x:v>
      </x:c>
      <x:c r="AC11" s="44" t="n">
        <x:f>SUMIF('Convertible Note'!$B$5:$B$16,AC$3,'Convertible Note'!$C$5:$C$16)</x:f>
        <x:v>0</x:v>
      </x:c>
      <x:c r="AD11" s="44" t="n">
        <x:f>SUMIF('Convertible Note'!$B$5:$B$16,AD$3,'Convertible Note'!$C$5:$C$16)</x:f>
        <x:v>0</x:v>
      </x:c>
      <x:c r="AE11" s="44" t="n">
        <x:f>SUMIF('Convertible Note'!$B$5:$B$16,AE$3,'Convertible Note'!$C$5:$C$16)</x:f>
        <x:v>0</x:v>
      </x:c>
      <x:c r="AF11" s="44" t="n">
        <x:f>SUMIF('Convertible Note'!$B$5:$B$16,AF$3,'Convertible Note'!$C$5:$C$16)</x:f>
        <x:v>0</x:v>
      </x:c>
      <x:c r="AG11" s="44" t="n">
        <x:f>SUMIF('Convertible Note'!$B$5:$B$16,AG$3,'Convertible Note'!$C$5:$C$16)</x:f>
        <x:v>0</x:v>
      </x:c>
      <x:c r="AH11" s="44" t="n">
        <x:f>SUMIF('Convertible Note'!$B$5:$B$16,AH$3,'Convertible Note'!$C$5:$C$16)</x:f>
        <x:v>0</x:v>
      </x:c>
      <x:c r="AI11" s="44" t="n">
        <x:f>SUMIF('Convertible Note'!$B$5:$B$16,AI$3,'Convertible Note'!$C$5:$C$16)</x:f>
        <x:v>0</x:v>
      </x:c>
      <x:c r="AJ11" s="44" t="n">
        <x:f>SUMIF('Convertible Note'!$B$5:$B$16,AJ$3,'Convertible Note'!$C$5:$C$16)</x:f>
        <x:v>0</x:v>
      </x:c>
      <x:c r="AK11" s="44" t="n">
        <x:f>SUMIF('Convertible Note'!$B$5:$B$16,AK$3,'Convertible Note'!$C$5:$C$16)</x:f>
        <x:v>0</x:v>
      </x:c>
      <x:c r="AL11" s="44" t="n">
        <x:f>SUMIF('Convertible Note'!$B$5:$B$16,AL$3,'Convertible Note'!$C$5:$C$16)</x:f>
        <x:v>0</x:v>
      </x:c>
    </x:row>
    <x:row r="12">
      <x:c r="A12" s="43" t="str">
        <x:v>Cash Interest Paid (quarterly)</x:v>
      </x:c>
      <x:c r="B12" s="44" t="n">
        <x:f>'Convertible Note'!E19</x:f>
        <x:v>-509.5890410958904</x:v>
      </x:c>
      <x:c r="C12" s="44" t="n">
        <x:f>'Convertible Note'!F19</x:f>
        <x:v>0</x:v>
      </x:c>
      <x:c r="D12" s="44" t="n">
        <x:f>'Convertible Note'!G19</x:f>
        <x:v>0</x:v>
      </x:c>
      <x:c r="E12" s="44" t="n">
        <x:f>'Convertible Note'!H19</x:f>
        <x:v>-7227.397260273972</x:v>
      </x:c>
      <x:c r="F12" s="44" t="n">
        <x:f>'Convertible Note'!I19</x:f>
        <x:v>0</x:v>
      </x:c>
      <x:c r="G12" s="44" t="n">
        <x:f>'Convertible Note'!J19</x:f>
        <x:v>0</x:v>
      </x:c>
      <x:c r="H12" s="44" t="n">
        <x:f>'Convertible Note'!K19</x:f>
        <x:v>-14958.904109589042</x:v>
      </x:c>
      <x:c r="I12" s="44" t="n">
        <x:f>'Convertible Note'!L19</x:f>
        <x:v>0</x:v>
      </x:c>
      <x:c r="J12" s="44" t="n">
        <x:f>'Convertible Note'!M19</x:f>
        <x:v>0</x:v>
      </x:c>
      <x:c r="K12" s="44" t="n">
        <x:f>'Convertible Note'!N19</x:f>
        <x:v>-22657.534246575342</x:v>
      </x:c>
      <x:c r="L12" s="44" t="n">
        <x:f>'Convertible Note'!O19</x:f>
        <x:v>0</x:v>
      </x:c>
      <x:c r="M12" s="44" t="n">
        <x:f>'Convertible Note'!P19</x:f>
        <x:v>0</x:v>
      </x:c>
      <x:c r="N12" s="44" t="n">
        <x:f>'Convertible Note'!Q19</x:f>
        <x:v>-29397.260273972603</x:v>
      </x:c>
      <x:c r="O12" s="44" t="n">
        <x:f>'Convertible Note'!R19</x:f>
        <x:v>0</x:v>
      </x:c>
      <x:c r="P12" s="44" t="n">
        <x:f>'Convertible Note'!S19</x:f>
        <x:v>0</x:v>
      </x:c>
      <x:c r="Q12" s="44" t="n">
        <x:f>'Convertible Note'!T19</x:f>
        <x:v>-29917.80821917808</x:v>
      </x:c>
      <x:c r="R12" s="44" t="n">
        <x:f>'Convertible Note'!U19</x:f>
        <x:v>0</x:v>
      </x:c>
      <x:c r="S12" s="44" t="n">
        <x:f>'Convertible Note'!V19</x:f>
        <x:v>0</x:v>
      </x:c>
      <x:c r="T12" s="44" t="n">
        <x:f>'Convertible Note'!W19</x:f>
        <x:v>-29917.80821917808</x:v>
      </x:c>
      <x:c r="U12" s="44" t="n">
        <x:f>'Convertible Note'!X19</x:f>
        <x:v>0</x:v>
      </x:c>
      <x:c r="V12" s="44" t="n">
        <x:f>'Convertible Note'!Y19</x:f>
        <x:v>0</x:v>
      </x:c>
      <x:c r="W12" s="44" t="n">
        <x:f>'Convertible Note'!Z19</x:f>
        <x:v>-30246.575342465752</x:v>
      </x:c>
      <x:c r="X12" s="44" t="n">
        <x:f>'Convertible Note'!AA19</x:f>
        <x:v>0</x:v>
      </x:c>
      <x:c r="Y12" s="44" t="n">
        <x:f>'Convertible Note'!AB19</x:f>
        <x:v>0</x:v>
      </x:c>
      <x:c r="Z12" s="44" t="n">
        <x:f>'Convertible Note'!AC19</x:f>
        <x:v>-30246.575342465752</x:v>
      </x:c>
      <x:c r="AA12" s="44" t="n">
        <x:f>'Convertible Note'!AD19</x:f>
        <x:v>0</x:v>
      </x:c>
      <x:c r="AB12" s="44" t="n">
        <x:f>'Convertible Note'!AE19</x:f>
        <x:v>0</x:v>
      </x:c>
      <x:c r="AC12" s="44" t="n">
        <x:f>'Convertible Note'!AF19</x:f>
        <x:v>-29589.04109589041</x:v>
      </x:c>
      <x:c r="AD12" s="44" t="n">
        <x:f>'Convertible Note'!AG19</x:f>
        <x:v>0</x:v>
      </x:c>
      <x:c r="AE12" s="44" t="n">
        <x:f>'Convertible Note'!AH19</x:f>
        <x:v>0</x:v>
      </x:c>
      <x:c r="AF12" s="44" t="n">
        <x:f>'Convertible Note'!AI19</x:f>
        <x:v>-29917.80821917808</x:v>
      </x:c>
      <x:c r="AG12" s="44" t="n">
        <x:f>'Convertible Note'!AJ19</x:f>
        <x:v>0</x:v>
      </x:c>
      <x:c r="AH12" s="44" t="n">
        <x:f>'Convertible Note'!AK19</x:f>
        <x:v>0</x:v>
      </x:c>
      <x:c r="AI12" s="44" t="n">
        <x:f>'Convertible Note'!AL19</x:f>
        <x:v>-30246.575342465752</x:v>
      </x:c>
      <x:c r="AJ12" s="44" t="n">
        <x:f>'Convertible Note'!AM19</x:f>
        <x:v>0</x:v>
      </x:c>
      <x:c r="AK12" s="44" t="n">
        <x:f>'Convertible Note'!AN19</x:f>
        <x:v>0</x:v>
      </x:c>
      <x:c r="AL12" s="44" t="n">
        <x:f>'Convertible Note'!AO19</x:f>
        <x:v>-30246.575342465752</x:v>
      </x:c>
    </x:row>
    <x:row r="13">
      <x:c r="A13" s="51" t="str">
        <x:v>Financing Cash Flow</x:v>
      </x:c>
      <x:c r="B13" s="52" t="n">
        <x:f>SUM(B11:B12)</x:f>
        <x:v>149490.4109589041</x:v>
      </x:c>
      <x:c r="C13" s="52" t="n">
        <x:f>SUM(C11:C12)</x:f>
        <x:v>300000</x:v>
      </x:c>
      <x:c r="D13" s="52" t="n">
        <x:f>SUM(D11:D12)</x:f>
        <x:v>300000</x:v>
      </x:c>
      <x:c r="E13" s="52" t="n">
        <x:f>SUM(E11:E12)</x:f>
        <x:v>242772.60273972602</x:v>
      </x:c>
      <x:c r="F13" s="52" t="n">
        <x:f>SUM(F11:F12)</x:f>
        <x:v>250000</x:v>
      </x:c>
      <x:c r="G13" s="52" t="n">
        <x:f>SUM(G11:G12)</x:f>
        <x:v>250000</x:v>
      </x:c>
      <x:c r="H13" s="52" t="n">
        <x:f>SUM(H11:H12)</x:f>
        <x:v>235041.09589041094</x:v>
      </x:c>
      <x:c r="I13" s="52" t="n">
        <x:f>SUM(I11:I12)</x:f>
        <x:v>250000</x:v>
      </x:c>
      <x:c r="J13" s="52" t="n">
        <x:f>SUM(J11:J12)</x:f>
        <x:v>250000</x:v>
      </x:c>
      <x:c r="K13" s="52" t="n">
        <x:f>SUM(K11:K12)</x:f>
        <x:v>227342.46575342465</x:v>
      </x:c>
      <x:c r="L13" s="52" t="n">
        <x:f>SUM(L11:L12)</x:f>
        <x:v>250000</x:v>
      </x:c>
      <x:c r="M13" s="52" t="n">
        <x:f>SUM(M11:M12)</x:f>
        <x:v>250000</x:v>
      </x:c>
      <x:c r="N13" s="52" t="n">
        <x:f>SUM(N11:N12)</x:f>
        <x:v>-29397.260273972603</x:v>
      </x:c>
      <x:c r="O13" s="52" t="n">
        <x:f>SUM(O11:O12)</x:f>
        <x:v>0</x:v>
      </x:c>
      <x:c r="P13" s="52" t="n">
        <x:f>SUM(P11:P12)</x:f>
        <x:v>0</x:v>
      </x:c>
      <x:c r="Q13" s="52" t="n">
        <x:f>SUM(Q11:Q12)</x:f>
        <x:v>-29917.80821917808</x:v>
      </x:c>
      <x:c r="R13" s="52" t="n">
        <x:f>SUM(R11:R12)</x:f>
        <x:v>0</x:v>
      </x:c>
      <x:c r="S13" s="52" t="n">
        <x:f>SUM(S11:S12)</x:f>
        <x:v>0</x:v>
      </x:c>
      <x:c r="T13" s="52" t="n">
        <x:f>SUM(T11:T12)</x:f>
        <x:v>-29917.80821917808</x:v>
      </x:c>
      <x:c r="U13" s="52" t="n">
        <x:f>SUM(U11:U12)</x:f>
        <x:v>0</x:v>
      </x:c>
      <x:c r="V13" s="52" t="n">
        <x:f>SUM(V11:V12)</x:f>
        <x:v>0</x:v>
      </x:c>
      <x:c r="W13" s="52" t="n">
        <x:f>SUM(W11:W12)</x:f>
        <x:v>-30246.575342465752</x:v>
      </x:c>
      <x:c r="X13" s="52" t="n">
        <x:f>SUM(X11:X12)</x:f>
        <x:v>0</x:v>
      </x:c>
      <x:c r="Y13" s="52" t="n">
        <x:f>SUM(Y11:Y12)</x:f>
        <x:v>0</x:v>
      </x:c>
      <x:c r="Z13" s="52" t="n">
        <x:f>SUM(Z11:Z12)</x:f>
        <x:v>-30246.575342465752</x:v>
      </x:c>
      <x:c r="AA13" s="52" t="n">
        <x:f>SUM(AA11:AA12)</x:f>
        <x:v>0</x:v>
      </x:c>
      <x:c r="AB13" s="52" t="n">
        <x:f>SUM(AB11:AB12)</x:f>
        <x:v>0</x:v>
      </x:c>
      <x:c r="AC13" s="52" t="n">
        <x:f>SUM(AC11:AC12)</x:f>
        <x:v>-29589.04109589041</x:v>
      </x:c>
      <x:c r="AD13" s="52" t="n">
        <x:f>SUM(AD11:AD12)</x:f>
        <x:v>0</x:v>
      </x:c>
      <x:c r="AE13" s="52" t="n">
        <x:f>SUM(AE11:AE12)</x:f>
        <x:v>0</x:v>
      </x:c>
      <x:c r="AF13" s="52" t="n">
        <x:f>SUM(AF11:AF12)</x:f>
        <x:v>-29917.80821917808</x:v>
      </x:c>
      <x:c r="AG13" s="52" t="n">
        <x:f>SUM(AG11:AG12)</x:f>
        <x:v>0</x:v>
      </x:c>
      <x:c r="AH13" s="52" t="n">
        <x:f>SUM(AH11:AH12)</x:f>
        <x:v>0</x:v>
      </x:c>
      <x:c r="AI13" s="52" t="n">
        <x:f>SUM(AI11:AI12)</x:f>
        <x:v>-30246.575342465752</x:v>
      </x:c>
      <x:c r="AJ13" s="52" t="n">
        <x:f>SUM(AJ11:AJ12)</x:f>
        <x:v>0</x:v>
      </x:c>
      <x:c r="AK13" s="52" t="n">
        <x:f>SUM(AK11:AK12)</x:f>
        <x:v>0</x:v>
      </x:c>
      <x:c r="AL13" s="52" t="n">
        <x:f>SUM(AL11:AL12)</x:f>
        <x:v>-30246.575342465752</x:v>
      </x:c>
    </x:row>
    <x:row r="14">
      <x:c r="A14" s="43" t="str">
        <x:v>Net Cash Flow</x:v>
      </x:c>
      <x:c r="B14" s="44" t="n">
        <x:f>SUM(B10,B13)</x:f>
        <x:v>106990.4109589041</x:v>
      </x:c>
      <x:c r="C14" s="44" t="n">
        <x:f>SUM(C10,C13)</x:f>
        <x:v>196600</x:v>
      </x:c>
      <x:c r="D14" s="44" t="n">
        <x:f>SUM(D10,D13)</x:f>
        <x:v>221500</x:v>
      </x:c>
      <x:c r="E14" s="44" t="n">
        <x:f>SUM(E10,E13)</x:f>
        <x:v>179872.60273972602</x:v>
      </x:c>
      <x:c r="F14" s="44" t="n">
        <x:f>SUM(F10,F13)</x:f>
        <x:v>201700</x:v>
      </x:c>
      <x:c r="G14" s="44" t="n">
        <x:f>SUM(G10,G13)</x:f>
        <x:v>215300</x:v>
      </x:c>
      <x:c r="H14" s="44" t="n">
        <x:f>SUM(H10,H13)</x:f>
        <x:v>200341.09589041094</x:v>
      </x:c>
      <x:c r="I14" s="44" t="n">
        <x:f>SUM(I10,I13)</x:f>
        <x:v>235160</x:v>
      </x:c>
      <x:c r="J14" s="44" t="n">
        <x:f>SUM(J10,J13)</x:f>
        <x:v>235160</x:v>
      </x:c>
      <x:c r="K14" s="44" t="n">
        <x:f>SUM(K10,K13)</x:f>
        <x:v>212502.46575342465</x:v>
      </x:c>
      <x:c r="L14" s="44" t="n">
        <x:f>SUM(L10,L13)</x:f>
        <x:v>235160</x:v>
      </x:c>
      <x:c r="M14" s="44" t="n">
        <x:f>SUM(M10,M13)</x:f>
        <x:v>235160</x:v>
      </x:c>
      <x:c r="N14" s="44" t="n">
        <x:f>SUM(N10,N13)</x:f>
        <x:v>-44637.2602739726</x:v>
      </x:c>
      <x:c r="O14" s="44" t="n">
        <x:f>SUM(O10,O13)</x:f>
        <x:v>36548.54999999999</x:v>
      </x:c>
      <x:c r="P14" s="44" t="n">
        <x:f>SUM(P10,P13)</x:f>
        <x:v>36548.54999999999</x:v>
      </x:c>
      <x:c r="Q14" s="44" t="n">
        <x:f>SUM(Q10,Q13)</x:f>
        <x:v>6630.741780821907</x:v>
      </x:c>
      <x:c r="R14" s="44" t="n">
        <x:f>SUM(R10,R13)</x:f>
        <x:v>36548.54999999999</x:v>
      </x:c>
      <x:c r="S14" s="44" t="n">
        <x:f>SUM(S10,S13)</x:f>
        <x:v>36548.54999999999</x:v>
      </x:c>
      <x:c r="T14" s="44" t="n">
        <x:f>SUM(T10,T13)</x:f>
        <x:v>6630.741780821907</x:v>
      </x:c>
      <x:c r="U14" s="44" t="n">
        <x:f>SUM(U10,U13)</x:f>
        <x:v>36548.54999999999</x:v>
      </x:c>
      <x:c r="V14" s="44" t="n">
        <x:f>SUM(V10,V13)</x:f>
        <x:v>36548.54999999999</x:v>
      </x:c>
      <x:c r="W14" s="44" t="n">
        <x:f>SUM(W10,W13)</x:f>
        <x:v>6301.974657534236</x:v>
      </x:c>
      <x:c r="X14" s="44" t="n">
        <x:f>SUM(X10,X13)</x:f>
        <x:v>36548.54999999999</x:v>
      </x:c>
      <x:c r="Y14" s="44" t="n">
        <x:f>SUM(Y10,Y13)</x:f>
        <x:v>36548.54999999999</x:v>
      </x:c>
      <x:c r="Z14" s="44" t="n">
        <x:f>SUM(Z10,Z13)</x:f>
        <x:v>-72211.2585424658</x:v>
      </x:c>
      <x:c r="AA14" s="44" t="n">
        <x:f>SUM(AA10,AA13)</x:f>
        <x:v>105544.54000000001</x:v>
      </x:c>
      <x:c r="AB14" s="44" t="n">
        <x:f>SUM(AB10,AB13)</x:f>
        <x:v>105544.54000000001</x:v>
      </x:c>
      <x:c r="AC14" s="44" t="n">
        <x:f>SUM(AC10,AC13)</x:f>
        <x:v>75955.4989041096</x:v>
      </x:c>
      <x:c r="AD14" s="44" t="n">
        <x:f>SUM(AD10,AD13)</x:f>
        <x:v>105544.54000000001</x:v>
      </x:c>
      <x:c r="AE14" s="44" t="n">
        <x:f>SUM(AE10,AE13)</x:f>
        <x:v>105544.54000000001</x:v>
      </x:c>
      <x:c r="AF14" s="44" t="n">
        <x:f>SUM(AF10,AF13)</x:f>
        <x:v>75626.73178082192</x:v>
      </x:c>
      <x:c r="AG14" s="44" t="n">
        <x:f>SUM(AG10,AG13)</x:f>
        <x:v>105544.54000000001</x:v>
      </x:c>
      <x:c r="AH14" s="44" t="n">
        <x:f>SUM(AH10,AH13)</x:f>
        <x:v>105544.54000000001</x:v>
      </x:c>
      <x:c r="AI14" s="44" t="n">
        <x:f>SUM(AI10,AI13)</x:f>
        <x:v>75297.96465753426</x:v>
      </x:c>
      <x:c r="AJ14" s="44" t="n">
        <x:f>SUM(AJ10,AJ13)</x:f>
        <x:v>105544.54000000001</x:v>
      </x:c>
      <x:c r="AK14" s="44" t="n">
        <x:f>SUM(AK10,AK13)</x:f>
        <x:v>105544.54000000001</x:v>
      </x:c>
      <x:c r="AL14" s="44" t="n">
        <x:f>SUM(AL10,AL13)</x:f>
        <x:v>-183653.00014246604</x:v>
      </x:c>
    </x:row>
    <x:row r="15">
      <x:c r="A15" s="51" t="str">
        <x:v>Ending Cash</x:v>
      </x:c>
      <x:c r="B15" s="52" t="n">
        <x:f>SUM(B4,B14)</x:f>
        <x:v>106990.4109589041</x:v>
      </x:c>
      <x:c r="C15" s="52" t="n">
        <x:f>SUM(C4,C14)</x:f>
        <x:v>303590.4109589041</x:v>
      </x:c>
      <x:c r="D15" s="52" t="n">
        <x:f>SUM(D4,D14)</x:f>
        <x:v>525090.4109589041</x:v>
      </x:c>
      <x:c r="E15" s="52" t="n">
        <x:f>SUM(E4,E14)</x:f>
        <x:v>704963.01369863</x:v>
      </x:c>
      <x:c r="F15" s="52" t="n">
        <x:f>SUM(F4,F14)</x:f>
        <x:v>906663.01369863</x:v>
      </x:c>
      <x:c r="G15" s="52" t="n">
        <x:f>SUM(G4,G14)</x:f>
        <x:v>1121963.01369863</x:v>
      </x:c>
      <x:c r="H15" s="52" t="n">
        <x:f>SUM(H4,H14)</x:f>
        <x:v>1322304.109589041</x:v>
      </x:c>
      <x:c r="I15" s="52" t="n">
        <x:f>SUM(I4,I14)</x:f>
        <x:v>1557464.109589041</x:v>
      </x:c>
      <x:c r="J15" s="52" t="n">
        <x:f>SUM(J4,J14)</x:f>
        <x:v>1792624.109589041</x:v>
      </x:c>
      <x:c r="K15" s="52" t="n">
        <x:f>SUM(K4,K14)</x:f>
        <x:v>2005126.5753424657</x:v>
      </x:c>
      <x:c r="L15" s="52" t="n">
        <x:f>SUM(L4,L14)</x:f>
        <x:v>2240286.5753424657</x:v>
      </x:c>
      <x:c r="M15" s="52" t="n">
        <x:f>SUM(M4,M14)</x:f>
        <x:v>2475446.5753424657</x:v>
      </x:c>
      <x:c r="N15" s="52" t="n">
        <x:f>SUM(N4,N14)</x:f>
        <x:v>2430809.315068493</x:v>
      </x:c>
      <x:c r="O15" s="52" t="n">
        <x:f>SUM(O4,O14)</x:f>
        <x:v>2467357.865068493</x:v>
      </x:c>
      <x:c r="P15" s="52" t="n">
        <x:f>SUM(P4,P14)</x:f>
        <x:v>2503906.4150684928</x:v>
      </x:c>
      <x:c r="Q15" s="52" t="n">
        <x:f>SUM(Q4,Q14)</x:f>
        <x:v>2510537.1568493145</x:v>
      </x:c>
      <x:c r="R15" s="52" t="n">
        <x:f>SUM(R4,R14)</x:f>
        <x:v>2547085.7068493143</x:v>
      </x:c>
      <x:c r="S15" s="52" t="n">
        <x:f>SUM(S4,S14)</x:f>
        <x:v>2583634.256849314</x:v>
      </x:c>
      <x:c r="T15" s="52" t="n">
        <x:f>SUM(T4,T14)</x:f>
        <x:v>2590264.998630136</x:v>
      </x:c>
      <x:c r="U15" s="52" t="n">
        <x:f>SUM(U4,U14)</x:f>
        <x:v>2626813.5486301356</x:v>
      </x:c>
      <x:c r="V15" s="52" t="n">
        <x:f>SUM(V4,V14)</x:f>
        <x:v>2663362.0986301354</x:v>
      </x:c>
      <x:c r="W15" s="52" t="n">
        <x:f>SUM(W4,W14)</x:f>
        <x:v>2669664.0732876696</x:v>
      </x:c>
      <x:c r="X15" s="52" t="n">
        <x:f>SUM(X4,X14)</x:f>
        <x:v>2706212.6232876694</x:v>
      </x:c>
      <x:c r="Y15" s="52" t="n">
        <x:f>SUM(Y4,Y14)</x:f>
        <x:v>2742761.173287669</x:v>
      </x:c>
      <x:c r="Z15" s="52" t="n">
        <x:f>SUM(Z4,Z14)</x:f>
        <x:v>2670549.914745203</x:v>
      </x:c>
      <x:c r="AA15" s="52" t="n">
        <x:f>SUM(AA4,AA14)</x:f>
        <x:v>2776094.4547452033</x:v>
      </x:c>
      <x:c r="AB15" s="52" t="n">
        <x:f>SUM(AB4,AB14)</x:f>
        <x:v>2881638.9947452033</x:v>
      </x:c>
      <x:c r="AC15" s="52" t="n">
        <x:f>SUM(AC4,AC14)</x:f>
        <x:v>2957594.4936493128</x:v>
      </x:c>
      <x:c r="AD15" s="52" t="n">
        <x:f>SUM(AD4,AD14)</x:f>
        <x:v>3063139.033649313</x:v>
      </x:c>
      <x:c r="AE15" s="52" t="n">
        <x:f>SUM(AE4,AE14)</x:f>
        <x:v>3168683.573649313</x:v>
      </x:c>
      <x:c r="AF15" s="52" t="n">
        <x:f>SUM(AF4,AF14)</x:f>
        <x:v>3244310.3054301348</x:v>
      </x:c>
      <x:c r="AG15" s="52" t="n">
        <x:f>SUM(AG4,AG14)</x:f>
        <x:v>3349854.845430135</x:v>
      </x:c>
      <x:c r="AH15" s="52" t="n">
        <x:f>SUM(AH4,AH14)</x:f>
        <x:v>3455399.385430135</x:v>
      </x:c>
      <x:c r="AI15" s="52" t="n">
        <x:f>SUM(AI4,AI14)</x:f>
        <x:v>3530697.350087669</x:v>
      </x:c>
      <x:c r="AJ15" s="52" t="n">
        <x:f>SUM(AJ4,AJ14)</x:f>
        <x:v>3636241.8900876692</x:v>
      </x:c>
      <x:c r="AK15" s="52" t="n">
        <x:f>SUM(AK4,AK14)</x:f>
        <x:v>3741786.4300876693</x:v>
      </x:c>
      <x:c r="AL15" s="52" t="n">
        <x:f>SUM(AL4,AL14)</x:f>
        <x:v>3558133.4299452035</x:v>
      </x:c>
    </x:row>
    <x:row r="16">
      <x:c r="A16" s="43" t="str">
        <x:v>Reserved Cash (17.5% of funded principal)</x:v>
      </x:c>
      <x:c r="B16" s="44" t="n">
        <x:f>SUMIF('Convertible Note'!$B$5:$B$16,"&lt;="&amp;EOMONTH(B$3,0),'Convertible Note'!$C$5:$C$16)*'Assumptions'!$B$15</x:f>
        <x:v>15000</x:v>
      </x:c>
      <x:c r="C16" s="44" t="n">
        <x:f>SUMIF('Convertible Note'!$B$5:$B$16,"&lt;="&amp;EOMONTH(C$3,0),'Convertible Note'!$C$5:$C$16)*'Assumptions'!$B$15</x:f>
        <x:v>45000</x:v>
      </x:c>
      <x:c r="D16" s="44" t="n">
        <x:f>SUMIF('Convertible Note'!$B$5:$B$16,"&lt;="&amp;EOMONTH(D$3,0),'Convertible Note'!$C$5:$C$16)*'Assumptions'!$B$15</x:f>
        <x:v>75000</x:v>
      </x:c>
      <x:c r="E16" s="44" t="n">
        <x:f>SUMIF('Convertible Note'!$B$5:$B$16,"&lt;="&amp;EOMONTH(E$3,0),'Convertible Note'!$C$5:$C$16)*'Assumptions'!$B$15</x:f>
        <x:v>100000</x:v>
      </x:c>
      <x:c r="F16" s="44" t="n">
        <x:f>SUMIF('Convertible Note'!$B$5:$B$16,"&lt;="&amp;EOMONTH(F$3,0),'Convertible Note'!$C$5:$C$16)*'Assumptions'!$B$15</x:f>
        <x:v>125000</x:v>
      </x:c>
      <x:c r="G16" s="44" t="n">
        <x:f>SUMIF('Convertible Note'!$B$5:$B$16,"&lt;="&amp;EOMONTH(G$3,0),'Convertible Note'!$C$5:$C$16)*'Assumptions'!$B$15</x:f>
        <x:v>150000</x:v>
      </x:c>
      <x:c r="H16" s="44" t="n">
        <x:f>SUMIF('Convertible Note'!$B$5:$B$16,"&lt;="&amp;EOMONTH(H$3,0),'Convertible Note'!$C$5:$C$16)*'Assumptions'!$B$15</x:f>
        <x:v>175000</x:v>
      </x:c>
      <x:c r="I16" s="44" t="n">
        <x:f>SUMIF('Convertible Note'!$B$5:$B$16,"&lt;="&amp;EOMONTH(I$3,0),'Convertible Note'!$C$5:$C$16)*'Assumptions'!$B$15</x:f>
        <x:v>200000</x:v>
      </x:c>
      <x:c r="J16" s="44" t="n">
        <x:f>SUMIF('Convertible Note'!$B$5:$B$16,"&lt;="&amp;EOMONTH(J$3,0),'Convertible Note'!$C$5:$C$16)*'Assumptions'!$B$15</x:f>
        <x:v>225000</x:v>
      </x:c>
      <x:c r="K16" s="44" t="n">
        <x:f>SUMIF('Convertible Note'!$B$5:$B$16,"&lt;="&amp;EOMONTH(K$3,0),'Convertible Note'!$C$5:$C$16)*'Assumptions'!$B$15</x:f>
        <x:v>250000</x:v>
      </x:c>
      <x:c r="L16" s="44" t="n">
        <x:f>SUMIF('Convertible Note'!$B$5:$B$16,"&lt;="&amp;EOMONTH(L$3,0),'Convertible Note'!$C$5:$C$16)*'Assumptions'!$B$15</x:f>
        <x:v>275000</x:v>
      </x:c>
      <x:c r="M16" s="44" t="n">
        <x:f>SUMIF('Convertible Note'!$B$5:$B$16,"&lt;="&amp;EOMONTH(M$3,0),'Convertible Note'!$C$5:$C$16)*'Assumptions'!$B$15</x:f>
        <x:v>300000</x:v>
      </x:c>
      <x:c r="N16" s="44" t="n">
        <x:f>SUMIF('Convertible Note'!$B$5:$B$16,"&lt;="&amp;EOMONTH(N$3,0),'Convertible Note'!$C$5:$C$16)*'Assumptions'!$B$15</x:f>
        <x:v>300000</x:v>
      </x:c>
      <x:c r="O16" s="44" t="n">
        <x:f>SUMIF('Convertible Note'!$B$5:$B$16,"&lt;="&amp;EOMONTH(O$3,0),'Convertible Note'!$C$5:$C$16)*'Assumptions'!$B$15</x:f>
        <x:v>300000</x:v>
      </x:c>
      <x:c r="P16" s="44" t="n">
        <x:f>SUMIF('Convertible Note'!$B$5:$B$16,"&lt;="&amp;EOMONTH(P$3,0),'Convertible Note'!$C$5:$C$16)*'Assumptions'!$B$15</x:f>
        <x:v>300000</x:v>
      </x:c>
      <x:c r="Q16" s="44" t="n">
        <x:f>SUMIF('Convertible Note'!$B$5:$B$16,"&lt;="&amp;EOMONTH(Q$3,0),'Convertible Note'!$C$5:$C$16)*'Assumptions'!$B$15</x:f>
        <x:v>300000</x:v>
      </x:c>
      <x:c r="R16" s="44" t="n">
        <x:f>SUMIF('Convertible Note'!$B$5:$B$16,"&lt;="&amp;EOMONTH(R$3,0),'Convertible Note'!$C$5:$C$16)*'Assumptions'!$B$15</x:f>
        <x:v>300000</x:v>
      </x:c>
      <x:c r="S16" s="44" t="n">
        <x:f>SUMIF('Convertible Note'!$B$5:$B$16,"&lt;="&amp;EOMONTH(S$3,0),'Convertible Note'!$C$5:$C$16)*'Assumptions'!$B$15</x:f>
        <x:v>300000</x:v>
      </x:c>
      <x:c r="T16" s="44" t="n">
        <x:f>SUMIF('Convertible Note'!$B$5:$B$16,"&lt;="&amp;EOMONTH(T$3,0),'Convertible Note'!$C$5:$C$16)*'Assumptions'!$B$15</x:f>
        <x:v>300000</x:v>
      </x:c>
      <x:c r="U16" s="44" t="n">
        <x:f>SUMIF('Convertible Note'!$B$5:$B$16,"&lt;="&amp;EOMONTH(U$3,0),'Convertible Note'!$C$5:$C$16)*'Assumptions'!$B$15</x:f>
        <x:v>300000</x:v>
      </x:c>
      <x:c r="V16" s="44" t="n">
        <x:f>SUMIF('Convertible Note'!$B$5:$B$16,"&lt;="&amp;EOMONTH(V$3,0),'Convertible Note'!$C$5:$C$16)*'Assumptions'!$B$15</x:f>
        <x:v>300000</x:v>
      </x:c>
      <x:c r="W16" s="44" t="n">
        <x:f>SUMIF('Convertible Note'!$B$5:$B$16,"&lt;="&amp;EOMONTH(W$3,0),'Convertible Note'!$C$5:$C$16)*'Assumptions'!$B$15</x:f>
        <x:v>300000</x:v>
      </x:c>
      <x:c r="X16" s="44" t="n">
        <x:f>SUMIF('Convertible Note'!$B$5:$B$16,"&lt;="&amp;EOMONTH(X$3,0),'Convertible Note'!$C$5:$C$16)*'Assumptions'!$B$15</x:f>
        <x:v>300000</x:v>
      </x:c>
      <x:c r="Y16" s="44" t="n">
        <x:f>SUMIF('Convertible Note'!$B$5:$B$16,"&lt;="&amp;EOMONTH(Y$3,0),'Convertible Note'!$C$5:$C$16)*'Assumptions'!$B$15</x:f>
        <x:v>300000</x:v>
      </x:c>
      <x:c r="Z16" s="44" t="n">
        <x:f>SUMIF('Convertible Note'!$B$5:$B$16,"&lt;="&amp;EOMONTH(Z$3,0),'Convertible Note'!$C$5:$C$16)*'Assumptions'!$B$15</x:f>
        <x:v>300000</x:v>
      </x:c>
      <x:c r="AA16" s="44" t="n">
        <x:f>SUMIF('Convertible Note'!$B$5:$B$16,"&lt;="&amp;EOMONTH(AA$3,0),'Convertible Note'!$C$5:$C$16)*'Assumptions'!$B$15</x:f>
        <x:v>300000</x:v>
      </x:c>
      <x:c r="AB16" s="44" t="n">
        <x:f>SUMIF('Convertible Note'!$B$5:$B$16,"&lt;="&amp;EOMONTH(AB$3,0),'Convertible Note'!$C$5:$C$16)*'Assumptions'!$B$15</x:f>
        <x:v>300000</x:v>
      </x:c>
      <x:c r="AC16" s="44" t="n">
        <x:f>SUMIF('Convertible Note'!$B$5:$B$16,"&lt;="&amp;EOMONTH(AC$3,0),'Convertible Note'!$C$5:$C$16)*'Assumptions'!$B$15</x:f>
        <x:v>300000</x:v>
      </x:c>
      <x:c r="AD16" s="44" t="n">
        <x:f>SUMIF('Convertible Note'!$B$5:$B$16,"&lt;="&amp;EOMONTH(AD$3,0),'Convertible Note'!$C$5:$C$16)*'Assumptions'!$B$15</x:f>
        <x:v>300000</x:v>
      </x:c>
      <x:c r="AE16" s="44" t="n">
        <x:f>SUMIF('Convertible Note'!$B$5:$B$16,"&lt;="&amp;EOMONTH(AE$3,0),'Convertible Note'!$C$5:$C$16)*'Assumptions'!$B$15</x:f>
        <x:v>300000</x:v>
      </x:c>
      <x:c r="AF16" s="44" t="n">
        <x:f>SUMIF('Convertible Note'!$B$5:$B$16,"&lt;="&amp;EOMONTH(AF$3,0),'Convertible Note'!$C$5:$C$16)*'Assumptions'!$B$15</x:f>
        <x:v>300000</x:v>
      </x:c>
      <x:c r="AG16" s="44" t="n">
        <x:f>SUMIF('Convertible Note'!$B$5:$B$16,"&lt;="&amp;EOMONTH(AG$3,0),'Convertible Note'!$C$5:$C$16)*'Assumptions'!$B$15</x:f>
        <x:v>300000</x:v>
      </x:c>
      <x:c r="AH16" s="44" t="n">
        <x:f>SUMIF('Convertible Note'!$B$5:$B$16,"&lt;="&amp;EOMONTH(AH$3,0),'Convertible Note'!$C$5:$C$16)*'Assumptions'!$B$15</x:f>
        <x:v>300000</x:v>
      </x:c>
      <x:c r="AI16" s="44" t="n">
        <x:f>SUMIF('Convertible Note'!$B$5:$B$16,"&lt;="&amp;EOMONTH(AI$3,0),'Convertible Note'!$C$5:$C$16)*'Assumptions'!$B$15</x:f>
        <x:v>300000</x:v>
      </x:c>
      <x:c r="AJ16" s="44" t="n">
        <x:f>SUMIF('Convertible Note'!$B$5:$B$16,"&lt;="&amp;EOMONTH(AJ$3,0),'Convertible Note'!$C$5:$C$16)*'Assumptions'!$B$15</x:f>
        <x:v>300000</x:v>
      </x:c>
      <x:c r="AK16" s="44" t="n">
        <x:f>SUMIF('Convertible Note'!$B$5:$B$16,"&lt;="&amp;EOMONTH(AK$3,0),'Convertible Note'!$C$5:$C$16)*'Assumptions'!$B$15</x:f>
        <x:v>300000</x:v>
      </x:c>
      <x:c r="AL16" s="44" t="n">
        <x:f>SUMIF('Convertible Note'!$B$5:$B$16,"&lt;="&amp;EOMONTH(AL$3,0),'Convertible Note'!$C$5:$C$16)*'Assumptions'!$B$15</x:f>
        <x:v>300000</x:v>
      </x:c>
    </x:row>
    <x:row r="17">
      <x:c r="A17" s="51" t="str">
        <x:v>Available Operating Cash</x:v>
      </x:c>
      <x:c r="B17" s="52" t="n">
        <x:f>B15-B16</x:f>
        <x:v>91990.4109589041</x:v>
      </x:c>
      <x:c r="C17" s="52" t="n">
        <x:f>C15-C16</x:f>
        <x:v>258590.41095890407</x:v>
      </x:c>
      <x:c r="D17" s="52" t="n">
        <x:f>D15-D16</x:f>
        <x:v>450090.4109589041</x:v>
      </x:c>
      <x:c r="E17" s="52" t="n">
        <x:f>E15-E16</x:f>
        <x:v>604963.01369863</x:v>
      </x:c>
      <x:c r="F17" s="52" t="n">
        <x:f>F15-F16</x:f>
        <x:v>781663.01369863</x:v>
      </x:c>
      <x:c r="G17" s="52" t="n">
        <x:f>G15-G16</x:f>
        <x:v>971963.01369863</x:v>
      </x:c>
      <x:c r="H17" s="52" t="n">
        <x:f>H15-H16</x:f>
        <x:v>1147304.109589041</x:v>
      </x:c>
      <x:c r="I17" s="52" t="n">
        <x:f>I15-I16</x:f>
        <x:v>1357464.109589041</x:v>
      </x:c>
      <x:c r="J17" s="52" t="n">
        <x:f>J15-J16</x:f>
        <x:v>1567624.109589041</x:v>
      </x:c>
      <x:c r="K17" s="52" t="n">
        <x:f>K15-K16</x:f>
        <x:v>1755126.5753424657</x:v>
      </x:c>
      <x:c r="L17" s="52" t="n">
        <x:f>L15-L16</x:f>
        <x:v>1965286.5753424657</x:v>
      </x:c>
      <x:c r="M17" s="52" t="n">
        <x:f>M15-M16</x:f>
        <x:v>2175446.5753424657</x:v>
      </x:c>
      <x:c r="N17" s="52" t="n">
        <x:f>N15-N16</x:f>
        <x:v>2130809.315068493</x:v>
      </x:c>
      <x:c r="O17" s="52" t="n">
        <x:f>O15-O16</x:f>
        <x:v>2167357.865068493</x:v>
      </x:c>
      <x:c r="P17" s="52" t="n">
        <x:f>P15-P16</x:f>
        <x:v>2203906.4150684928</x:v>
      </x:c>
      <x:c r="Q17" s="52" t="n">
        <x:f>Q15-Q16</x:f>
        <x:v>2210537.1568493145</x:v>
      </x:c>
      <x:c r="R17" s="52" t="n">
        <x:f>R15-R16</x:f>
        <x:v>2247085.7068493143</x:v>
      </x:c>
      <x:c r="S17" s="52" t="n">
        <x:f>S15-S16</x:f>
        <x:v>2283634.256849314</x:v>
      </x:c>
      <x:c r="T17" s="52" t="n">
        <x:f>T15-T16</x:f>
        <x:v>2290264.998630136</x:v>
      </x:c>
      <x:c r="U17" s="52" t="n">
        <x:f>U15-U16</x:f>
        <x:v>2326813.5486301356</x:v>
      </x:c>
      <x:c r="V17" s="52" t="n">
        <x:f>V15-V16</x:f>
        <x:v>2363362.0986301354</x:v>
      </x:c>
      <x:c r="W17" s="52" t="n">
        <x:f>W15-W16</x:f>
        <x:v>2369664.0732876696</x:v>
      </x:c>
      <x:c r="X17" s="52" t="n">
        <x:f>X15-X16</x:f>
        <x:v>2406212.6232876694</x:v>
      </x:c>
      <x:c r="Y17" s="52" t="n">
        <x:f>Y15-Y16</x:f>
        <x:v>2442761.173287669</x:v>
      </x:c>
      <x:c r="Z17" s="52" t="n">
        <x:f>Z15-Z16</x:f>
        <x:v>2370549.914745203</x:v>
      </x:c>
      <x:c r="AA17" s="52" t="n">
        <x:f>AA15-AA16</x:f>
        <x:v>2476094.4547452033</x:v>
      </x:c>
      <x:c r="AB17" s="52" t="n">
        <x:f>AB15-AB16</x:f>
        <x:v>2581638.9947452033</x:v>
      </x:c>
      <x:c r="AC17" s="52" t="n">
        <x:f>AC15-AC16</x:f>
        <x:v>2657594.4936493128</x:v>
      </x:c>
      <x:c r="AD17" s="52" t="n">
        <x:f>AD15-AD16</x:f>
        <x:v>2763139.033649313</x:v>
      </x:c>
      <x:c r="AE17" s="52" t="n">
        <x:f>AE15-AE16</x:f>
        <x:v>2868683.573649313</x:v>
      </x:c>
      <x:c r="AF17" s="52" t="n">
        <x:f>AF15-AF16</x:f>
        <x:v>2944310.3054301348</x:v>
      </x:c>
      <x:c r="AG17" s="52" t="n">
        <x:f>AG15-AG16</x:f>
        <x:v>3049854.845430135</x:v>
      </x:c>
      <x:c r="AH17" s="52" t="n">
        <x:f>AH15-AH16</x:f>
        <x:v>3155399.385430135</x:v>
      </x:c>
      <x:c r="AI17" s="52" t="n">
        <x:f>AI15-AI16</x:f>
        <x:v>3230697.350087669</x:v>
      </x:c>
      <x:c r="AJ17" s="52" t="n">
        <x:f>AJ15-AJ16</x:f>
        <x:v>3336241.8900876692</x:v>
      </x:c>
      <x:c r="AK17" s="52" t="n">
        <x:f>AK15-AK16</x:f>
        <x:v>3441786.4300876693</x:v>
      </x:c>
      <x:c r="AL17" s="52" t="n">
        <x:f>AL15-AL16</x:f>
        <x:v>3258133.4299452035</x:v>
      </x:c>
    </x:row>
    <x:row r="18">
      <x:c r="A18" s="51" t="str">
        <x:v>Outstanding Convertible Note Principal</x:v>
      </x:c>
      <x:c r="B18" s="52" t="n">
        <x:f>'Convertible Note'!E23</x:f>
        <x:v>150636.98630136985</x:v>
      </x:c>
      <x:c r="C18" s="52" t="n">
        <x:f>'Convertible Note'!F23</x:f>
        <x:v>452547.94520547945</x:v>
      </x:c>
      <x:c r="D18" s="52" t="n">
        <x:f>'Convertible Note'!G23</x:f>
        <x:v>755424.6575342466</x:v>
      </x:c>
      <x:c r="E18" s="52" t="n">
        <x:f>'Convertible Note'!H23</x:f>
        <x:v>1009671.2328767123</x:v>
      </x:c>
      <x:c r="F18" s="52" t="n">
        <x:f>'Convertible Note'!I23</x:f>
        <x:v>1264808.2191780822</x:v>
      </x:c>
      <x:c r="G18" s="52" t="n">
        <x:f>'Convertible Note'!J23</x:f>
        <x:v>1521178.082191781</x:v>
      </x:c>
      <x:c r="H18" s="52" t="n">
        <x:f>'Convertible Note'!K23</x:f>
        <x:v>1778369.8630136987</x:v>
      </x:c>
      <x:c r="I18" s="52" t="n">
        <x:f>'Convertible Note'!L23</x:f>
        <x:v>2036863.01369863</x:v>
      </x:c>
      <x:c r="J18" s="52" t="n">
        <x:f>'Convertible Note'!M23</x:f>
        <x:v>2296417.808219178</x:v>
      </x:c>
      <x:c r="K18" s="52" t="n">
        <x:f>'Convertible Note'!N23</x:f>
        <x:v>2556691.7808219176</x:v>
      </x:c>
      <x:c r="L18" s="52" t="n">
        <x:f>'Convertible Note'!O23</x:f>
        <x:v>2818369.8630136987</x:v>
      </x:c>
      <x:c r="M18" s="52" t="n">
        <x:f>'Convertible Note'!P23</x:f>
        <x:v>3080698.6301369863</x:v>
      </x:c>
      <x:c r="N18" s="52" t="n">
        <x:f>'Convertible Note'!Q23</x:f>
        <x:v>3093438.3561643837</x:v>
      </x:c>
      <x:c r="O18" s="52" t="n">
        <x:f>'Convertible Note'!R23</x:f>
        <x:v>3106178.0821917807</x:v>
      </x:c>
      <x:c r="P18" s="52" t="n">
        <x:f>'Convertible Note'!S23</x:f>
        <x:v>3118095.890410959</x:v>
      </x:c>
      <x:c r="Q18" s="52" t="n">
        <x:f>'Convertible Note'!T23</x:f>
        <x:v>3130835.616438356</x:v>
      </x:c>
      <x:c r="R18" s="52" t="n">
        <x:f>'Convertible Note'!U23</x:f>
        <x:v>3143164.383561644</x:v>
      </x:c>
      <x:c r="S18" s="52" t="n">
        <x:f>'Convertible Note'!V23</x:f>
        <x:v>3155904.109589041</x:v>
      </x:c>
      <x:c r="T18" s="52" t="n">
        <x:f>'Convertible Note'!W23</x:f>
        <x:v>3168232.8767123288</x:v>
      </x:c>
      <x:c r="U18" s="52" t="n">
        <x:f>'Convertible Note'!X23</x:f>
        <x:v>3180972.602739726</x:v>
      </x:c>
      <x:c r="V18" s="52" t="n">
        <x:f>'Convertible Note'!Y23</x:f>
        <x:v>3193712.328767123</x:v>
      </x:c>
      <x:c r="W18" s="52" t="n">
        <x:f>'Convertible Note'!Z23</x:f>
        <x:v>3206041.095890411</x:v>
      </x:c>
      <x:c r="X18" s="52" t="n">
        <x:f>'Convertible Note'!AA23</x:f>
        <x:v>3218780.821917808</x:v>
      </x:c>
      <x:c r="Y18" s="52" t="n">
        <x:f>'Convertible Note'!AB23</x:f>
        <x:v>3231109.5890410957</x:v>
      </x:c>
      <x:c r="Z18" s="52" t="n">
        <x:f>'Convertible Note'!AC23</x:f>
        <x:v>3243849.315068493</x:v>
      </x:c>
      <x:c r="AA18" s="52" t="n">
        <x:f>'Convertible Note'!AD23</x:f>
        <x:v>3256589.0410958906</x:v>
      </x:c>
      <x:c r="AB18" s="52" t="n">
        <x:f>'Convertible Note'!AE23</x:f>
        <x:v>3268095.890410959</x:v>
      </x:c>
      <x:c r="AC18" s="52" t="n">
        <x:f>'Convertible Note'!AF23</x:f>
        <x:v>3280835.616438356</x:v>
      </x:c>
      <x:c r="AD18" s="52" t="n">
        <x:f>'Convertible Note'!AG23</x:f>
        <x:v>3293164.383561644</x:v>
      </x:c>
      <x:c r="AE18" s="52" t="n">
        <x:f>'Convertible Note'!AH23</x:f>
        <x:v>3305904.109589041</x:v>
      </x:c>
      <x:c r="AF18" s="52" t="n">
        <x:f>'Convertible Note'!AI23</x:f>
        <x:v>3318232.8767123288</x:v>
      </x:c>
      <x:c r="AG18" s="52" t="n">
        <x:f>'Convertible Note'!AJ23</x:f>
        <x:v>3330972.602739726</x:v>
      </x:c>
      <x:c r="AH18" s="52" t="n">
        <x:f>'Convertible Note'!AK23</x:f>
        <x:v>3343712.328767123</x:v>
      </x:c>
      <x:c r="AI18" s="52" t="n">
        <x:f>'Convertible Note'!AL23</x:f>
        <x:v>3356041.095890411</x:v>
      </x:c>
      <x:c r="AJ18" s="52" t="n">
        <x:f>'Convertible Note'!AM23</x:f>
        <x:v>3368780.821917808</x:v>
      </x:c>
      <x:c r="AK18" s="52" t="n">
        <x:f>'Convertible Note'!AN23</x:f>
        <x:v>3381109.5890410957</x:v>
      </x:c>
      <x:c r="AL18" s="52" t="n">
        <x:f>'Convertible Note'!AO23</x:f>
        <x:v>3393849.315068493</x:v>
      </x:c>
    </x:row>
  </x:sheetData>
  <x:mergeCells>
    <x:mergeCell ref="A1:AL1"/>
    <x:mergeCell ref="A2:AL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6" hidden="0" customWidth="1"/>
    <x:col min="2" max="2" width="17" hidden="0" customWidth="1"/>
    <x:col min="3" max="3" width="17" hidden="0" customWidth="1"/>
    <x:col min="4" max="4" width="50" hidden="0" customWidth="1"/>
  </x:cols>
  <x:sheetData>
    <x:row r="1" ht="30" customHeight="1">
      <x:c r="A1" s="31" t="str">
        <x:v>SVT Nexus — Estimated Use of Proceeds</x:v>
      </x:c>
      <x:c r="B1" s="31"/>
      <x:c r="C1" s="31"/>
      <x:c r="D1" s="31"/>
      <x:c r="E1" s="31"/>
      <x:c r="F1" s="31"/>
    </x:row>
    <x:row r="2">
      <x:c r="A2" s="42" t="str">
        <x:v>Version 3 | Model date: 21 Aug 2026 | Proposed structure — management and securities counsel review required</x:v>
      </x:c>
      <x:c r="B2" s="42"/>
      <x:c r="C2" s="42"/>
      <x:c r="D2" s="42"/>
      <x:c r="E2" s="42"/>
      <x:c r="F2" s="42"/>
    </x:row>
    <x:row r="3">
      <x:c r="A3" s="43"/>
      <x:c r="B3" s="43"/>
      <x:c r="C3" s="43"/>
      <x:c r="D3" s="43"/>
      <x:c r="E3" s="43"/>
      <x:c r="F3" s="43"/>
    </x:row>
    <x:row r="4">
      <x:c r="A4" s="15" t="str">
        <x:v>Use</x:v>
      </x:c>
      <x:c r="B4" s="15" t="str">
        <x:v>Amount</x:v>
      </x:c>
      <x:c r="C4" s="15" t="str">
        <x:v>% of Offering</x:v>
      </x:c>
      <x:c r="D4" s="15" t="str">
        <x:v>Investor-facing rationale</x:v>
      </x:c>
      <x:c r="E4" s="43"/>
      <x:c r="F4" s="43"/>
    </x:row>
    <x:row r="5">
      <x:c r="A5" s="43" t="str">
        <x:v>Technology / AI / cloud</x:v>
      </x:c>
      <x:c r="B5" s="44" t="n">
        <x:v>180000</x:v>
      </x:c>
      <x:c r="C5" s="45" t="n">
        <x:f>B5/'Assumptions'!$B$5</x:f>
        <x:v>0.06</x:v>
      </x:c>
      <x:c r="D5" s="43" t="str">
        <x:v>Platform and service infrastructure</x:v>
      </x:c>
      <x:c r="E5" s="43"/>
      <x:c r="F5" s="43"/>
    </x:row>
    <x:row r="6">
      <x:c r="A6" s="43" t="str">
        <x:v>Sales &amp; enterprise marketing</x:v>
      </x:c>
      <x:c r="B6" s="44" t="n">
        <x:v>420000</x:v>
      </x:c>
      <x:c r="C6" s="45" t="n">
        <x:f>B6/'Assumptions'!$B$5</x:f>
        <x:v>0.14</x:v>
      </x:c>
      <x:c r="D6" s="43" t="str">
        <x:v>Includes $300K reallocation for 2 AEs, 1 SDR, events and pilots</x:v>
      </x:c>
      <x:c r="E6" s="43"/>
      <x:c r="F6" s="43"/>
    </x:row>
    <x:row r="7">
      <x:c r="A7" s="43" t="str">
        <x:v>Legal / compliance / audit</x:v>
      </x:c>
      <x:c r="B7" s="44" t="n">
        <x:v>80000</x:v>
      </x:c>
      <x:c r="C7" s="45" t="n">
        <x:f>B7/'Assumptions'!$B$5</x:f>
        <x:v>0.02666666666666667</x:v>
      </x:c>
      <x:c r="D7" s="43" t="str">
        <x:v>Offering, contracts, reporting and governance</x:v>
      </x:c>
      <x:c r="E7" s="43"/>
      <x:c r="F7" s="43"/>
    </x:row>
    <x:row r="8">
      <x:c r="A8" s="43" t="str">
        <x:v>Personnel (non-CEO)</x:v>
      </x:c>
      <x:c r="B8" s="44" t="n">
        <x:v>600000</x:v>
      </x:c>
      <x:c r="C8" s="45" t="n">
        <x:f>B8/'Assumptions'!$B$5</x:f>
        <x:v>0.2</x:v>
      </x:c>
      <x:c r="D8" s="43" t="str">
        <x:v>Delivery capacity and enterprise sales team</x:v>
      </x:c>
      <x:c r="E8" s="43"/>
      <x:c r="F8" s="43"/>
    </x:row>
    <x:row r="9">
      <x:c r="A9" s="43" t="str">
        <x:v>CEO compensation</x:v>
      </x:c>
      <x:c r="B9" s="44" t="n">
        <x:v>120000</x:v>
      </x:c>
      <x:c r="C9" s="45" t="n">
        <x:f>B9/'Assumptions'!$B$5</x:f>
        <x:v>0.04</x:v>
      </x:c>
      <x:c r="D9" s="43" t="str">
        <x:v>Leadership compensation</x:v>
      </x:c>
      <x:c r="E9" s="43"/>
      <x:c r="F9" s="43"/>
    </x:row>
    <x:row r="10">
      <x:c r="A10" s="43" t="str">
        <x:v>Insurance</x:v>
      </x:c>
      <x:c r="B10" s="44" t="n">
        <x:v>30000</x:v>
      </x:c>
      <x:c r="C10" s="45" t="n">
        <x:f>B10/'Assumptions'!$B$5</x:f>
        <x:v>0.01</x:v>
      </x:c>
      <x:c r="D10" s="43" t="str">
        <x:v>Risk management</x:v>
      </x:c>
      <x:c r="E10" s="43"/>
      <x:c r="F10" s="43"/>
    </x:row>
    <x:row r="11">
      <x:c r="A11" s="43" t="str">
        <x:v>Travel</x:v>
      </x:c>
      <x:c r="B11" s="44" t="n">
        <x:v>40000</x:v>
      </x:c>
      <x:c r="C11" s="45" t="n">
        <x:f>B11/'Assumptions'!$B$5</x:f>
        <x:v>0.013333333333333334</x:v>
      </x:c>
      <x:c r="D11" s="43" t="str">
        <x:v>Business development and delivery</x:v>
      </x:c>
      <x:c r="E11" s="43"/>
      <x:c r="F11" s="43"/>
    </x:row>
    <x:row r="12">
      <x:c r="A12" s="43" t="str">
        <x:v>Office / administration</x:v>
      </x:c>
      <x:c r="B12" s="44" t="n">
        <x:v>30000</x:v>
      </x:c>
      <x:c r="C12" s="45" t="n">
        <x:f>B12/'Assumptions'!$B$5</x:f>
        <x:v>0.01</x:v>
      </x:c>
      <x:c r="D12" s="43" t="str">
        <x:v>Operating infrastructure</x:v>
      </x:c>
      <x:c r="E12" s="43"/>
      <x:c r="F12" s="43"/>
    </x:row>
    <x:row r="13">
      <x:c r="A13" s="43" t="str">
        <x:v>Other consultants</x:v>
      </x:c>
      <x:c r="B13" s="44" t="n">
        <x:v>40000</x:v>
      </x:c>
      <x:c r="C13" s="45" t="n">
        <x:f>B13/'Assumptions'!$B$5</x:f>
        <x:v>0.013333333333333334</x:v>
      </x:c>
      <x:c r="D13" s="43" t="str">
        <x:v>Specialist resources</x:v>
      </x:c>
      <x:c r="E13" s="43"/>
      <x:c r="F13" s="43"/>
    </x:row>
    <x:row r="14">
      <x:c r="A14" s="43" t="str">
        <x:v>Liquidity reserve</x:v>
      </x:c>
      <x:c r="B14" s="44" t="n">
        <x:v>300000</x:v>
      </x:c>
      <x:c r="C14" s="45" t="n">
        <x:f>B14/'Assumptions'!$B$5</x:f>
        <x:v>0.1</x:v>
      </x:c>
      <x:c r="D14" s="43" t="str">
        <x:v>10% of face principal</x:v>
      </x:c>
      <x:c r="E14" s="43"/>
      <x:c r="F14" s="43"/>
    </x:row>
    <x:row r="15">
      <x:c r="A15" s="43" t="str">
        <x:v>Working capital / contingency</x:v>
      </x:c>
      <x:c r="B15" s="44" t="n">
        <x:f>'Assumptions'!$B$5-SUM(B5:B14)</x:f>
        <x:v>1160000</x:v>
      </x:c>
      <x:c r="C15" s="45" t="n">
        <x:f>B15/'Assumptions'!$B$5</x:f>
        <x:v>0.38666666666666666</x:v>
      </x:c>
      <x:c r="D15" s="43" t="str">
        <x:v>Milestone deployment and operating flexibility</x:v>
      </x:c>
      <x:c r="E15" s="43"/>
      <x:c r="F15" s="43"/>
    </x:row>
    <x:row r="16">
      <x:c r="A16" s="51" t="str">
        <x:v>Total</x:v>
      </x:c>
      <x:c r="B16" s="52" t="n">
        <x:f>SUM(B5:B15)</x:f>
        <x:v>3000000</x:v>
      </x:c>
      <x:c r="C16" s="54" t="n">
        <x:f>SUM(C5:C15)</x:f>
        <x:v>1</x:v>
      </x:c>
      <x:c r="D16" s="51" t="str">
        <x:v>Must equal the note principal</x:v>
      </x:c>
      <x:c r="E16" s="43"/>
      <x:c r="F16" s="43"/>
    </x:row>
    <x:row r="17">
      <x:c r="A17" s="43"/>
      <x:c r="B17" s="43"/>
      <x:c r="C17" s="43"/>
      <x:c r="D17" s="43"/>
      <x:c r="E17" s="43"/>
      <x:c r="F17" s="43"/>
    </x:row>
    <x:row r="18">
      <x:c r="A18" s="43"/>
      <x:c r="B18" s="43"/>
      <x:c r="C18" s="43"/>
      <x:c r="D18" s="43"/>
      <x:c r="E18" s="43"/>
      <x:c r="F18" s="43"/>
    </x:row>
    <x:row r="19">
      <x:c r="A19" s="15" t="str">
        <x:v>Funding phase</x:v>
      </x:c>
      <x:c r="B19" s="15" t="str">
        <x:v>Maximum</x:v>
      </x:c>
      <x:c r="C19" s="15" t="str">
        <x:v>Release condition</x:v>
      </x:c>
      <x:c r="D19" s="15" t="str">
        <x:v>Modeled timing</x:v>
      </x:c>
      <x:c r="E19" s="43"/>
      <x:c r="F19" s="43"/>
    </x:row>
    <x:row r="20">
      <x:c r="A20" s="43" t="str">
        <x:v>Phase 1</x:v>
      </x:c>
      <x:c r="B20" s="44" t="n">
        <x:v>1250000</x:v>
      </x:c>
      <x:c r="C20" s="43" t="str">
        <x:v>Initial operating runway and 12-client build</x:v>
      </x:c>
      <x:c r="D20" s="43" t="str">
        <x:v>Dec 2026-Apr 2027</x:v>
      </x:c>
      <x:c r="E20" s="43"/>
      <x:c r="F20" s="43"/>
    </x:row>
    <x:row r="21">
      <x:c r="A21" s="43" t="str">
        <x:v>Phase 2</x:v>
      </x:c>
      <x:c r="B21" s="44" t="n">
        <x:v>1750000</x:v>
      </x:c>
      <x:c r="C21" s="43" t="str">
        <x:v>Prior-month annualized gross revenue &gt;= $1.0M</x:v>
      </x:c>
      <x:c r="D21" s="43" t="str">
        <x:v>May-Nov 2027 if milestone achieved</x:v>
      </x:c>
      <x:c r="E21" s="43"/>
      <x:c r="F21" s="43"/>
    </x:row>
    <x:row r="22">
      <x:c r="A22" s="51" t="str">
        <x:v>Total</x:v>
      </x:c>
      <x:c r="B22" s="52" t="n">
        <x:v>3000000</x:v>
      </x:c>
      <x:c r="C22" s="51" t="str">
        <x:v>Both phases</x:v>
      </x:c>
      <x:c r="D22" s="51" t="str">
        <x:v>Subject to actual closings</x:v>
      </x:c>
      <x:c r="E22" s="43"/>
      <x:c r="F22" s="43"/>
    </x:row>
  </x:sheetData>
  <x:mergeCells>
    <x:mergeCell ref="A1:F1"/>
    <x:mergeCell ref="A2:F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1" hidden="0" customWidth="1"/>
    <x:col min="2" max="2" width="17" hidden="0" customWidth="1"/>
    <x:col min="3" max="3" width="38" hidden="0" customWidth="1"/>
    <x:col min="4" max="4" width="20" hidden="0" customWidth="1"/>
    <x:col min="5" max="5" width="20" hidden="0" customWidth="1"/>
    <x:col min="6" max="6" width="52" hidden="0" customWidth="1"/>
  </x:cols>
  <x:sheetData>
    <x:row r="1" ht="30" customHeight="1">
      <x:c r="A1" s="31" t="str">
        <x:v>SVT Nexus — Scenario and Interest Sensitivity Analysis</x:v>
      </x:c>
      <x:c r="B1" s="31"/>
      <x:c r="C1" s="31"/>
      <x:c r="D1" s="31"/>
      <x:c r="E1" s="31"/>
      <x:c r="F1" s="31"/>
      <x:c r="G1" s="31"/>
      <x:c r="H1" s="31"/>
    </x:row>
    <x:row r="2">
      <x:c r="A2" s="42" t="str">
        <x:v>Version 3 | Model date: 21 Aug 2026 | Proposed structure — management and securities counsel review required</x:v>
      </x:c>
      <x:c r="B2" s="42"/>
      <x:c r="C2" s="42"/>
      <x:c r="D2" s="42"/>
      <x:c r="E2" s="42"/>
      <x:c r="F2" s="42"/>
      <x:c r="G2" s="42"/>
      <x:c r="H2" s="42"/>
    </x:row>
    <x:row r="3">
      <x:c r="A3" s="43"/>
      <x:c r="B3" s="43"/>
      <x:c r="C3" s="43"/>
      <x:c r="D3" s="43"/>
      <x:c r="E3" s="43"/>
      <x:c r="F3" s="43"/>
      <x:c r="G3" s="43"/>
      <x:c r="H3" s="43"/>
    </x:row>
    <x:row r="4">
      <x:c r="A4" s="15" t="str">
        <x:v>Scenario</x:v>
      </x:c>
      <x:c r="B4" s="15" t="str">
        <x:v>2027 clients</x:v>
      </x:c>
      <x:c r="C4" s="15" t="str">
        <x:v>Ramp / pricing basis</x:v>
      </x:c>
      <x:c r="D4" s="15" t="str">
        <x:v>2027 Revenue</x:v>
      </x:c>
      <x:c r="E4" s="15" t="str">
        <x:v>% of Management Target</x:v>
      </x:c>
      <x:c r="F4" s="15" t="str">
        <x:v>Key risk / interpretation</x:v>
      </x:c>
      <x:c r="G4" s="43"/>
      <x:c r="H4" s="43"/>
    </x:row>
    <x:row r="5">
      <x:c r="A5" s="43" t="str">
        <x:v>Downside</x:v>
      </x:c>
      <x:c r="B5" s="43" t="n">
        <x:v>6</x:v>
      </x:c>
      <x:c r="C5" s="43" t="str">
        <x:v>6-month delay; retainer-only</x:v>
      </x:c>
      <x:c r="D5" s="44" t="n">
        <x:f>6*11000*6*(1-'Assumptions'!$B$10)</x:f>
        <x:v>388080</x:v>
      </x:c>
      <x:c r="E5" s="45" t="n">
        <x:f>D5/'Assumptions'!$B$16</x:f>
        <x:v>0.12936</x:v>
      </x:c>
      <x:c r="F5" s="43" t="str">
        <x:v>Delayed sales conversion and 50% client attainment</x:v>
      </x:c>
      <x:c r="G5" s="43"/>
      <x:c r="H5" s="43"/>
    </x:row>
    <x:row r="6">
      <x:c r="A6" s="43" t="str">
        <x:v>Base</x:v>
      </x:c>
      <x:c r="B6" s="43" t="n">
        <x:v>12</x:v>
      </x:c>
      <x:c r="C6" s="43" t="str">
        <x:v>Jan-May ramp; differentiated pricing</x:v>
      </x:c>
      <x:c r="D6" s="44" t="n">
        <x:f>SUM('Revenue Model'!C10:N10)</x:f>
        <x:v>1392000</x:v>
      </x:c>
      <x:c r="E6" s="45" t="n">
        <x:f>D6/'Assumptions'!$B$16</x:f>
        <x:v>0.464</x:v>
      </x:c>
      <x:c r="F6" s="43" t="str">
        <x:v>Primary forecast used in financial statements</x:v>
      </x:c>
      <x:c r="G6" s="43"/>
      <x:c r="H6" s="43"/>
    </x:row>
    <x:row r="7">
      <x:c r="A7" s="43" t="str">
        <x:v>Management</x:v>
      </x:c>
      <x:c r="B7" s="43" t="n">
        <x:v>18</x:v>
      </x:c>
      <x:c r="C7" s="43" t="str">
        <x:v>Aspirational target case</x:v>
      </x:c>
      <x:c r="D7" s="44" t="n">
        <x:f>'Assumptions'!$B$16</x:f>
        <x:v>3000000</x:v>
      </x:c>
      <x:c r="E7" s="45" t="n">
        <x:f>D7/'Assumptions'!$B$16</x:f>
        <x:v>1</x:v>
      </x:c>
      <x:c r="F7" s="43" t="str">
        <x:v>Requires incremental contracts/strategic revenue beyond modeled Base Case</x:v>
      </x:c>
      <x:c r="G7" s="43"/>
      <x:c r="H7" s="43"/>
    </x:row>
    <x:row r="8">
      <x:c r="A8" s="43"/>
      <x:c r="B8" s="43"/>
      <x:c r="C8" s="43"/>
      <x:c r="D8" s="43"/>
      <x:c r="E8" s="43"/>
      <x:c r="F8" s="43"/>
      <x:c r="G8" s="43"/>
      <x:c r="H8" s="43"/>
    </x:row>
    <x:row r="9">
      <x:c r="A9" s="43"/>
      <x:c r="B9" s="43"/>
      <x:c r="C9" s="43"/>
      <x:c r="D9" s="43"/>
      <x:c r="E9" s="43"/>
      <x:c r="F9" s="43"/>
      <x:c r="G9" s="43"/>
      <x:c r="H9" s="43"/>
    </x:row>
    <x:row r="10">
      <x:c r="A10" s="15" t="str">
        <x:v>Cash coupon sensitivity</x:v>
      </x:c>
      <x:c r="B10" s="15" t="str">
        <x:v>2026-2029 cash interest</x:v>
      </x:c>
      <x:c r="C10" s="15" t="str">
        <x:v>Ending cash impact vs. 4%</x:v>
      </x:c>
      <x:c r="D10" s="15" t="str">
        <x:v>Interpretation</x:v>
      </x:c>
      <x:c r="E10" s="43"/>
      <x:c r="F10" s="43"/>
      <x:c r="G10" s="43"/>
      <x:c r="H10" s="43"/>
    </x:row>
    <x:row r="11">
      <x:c r="A11" s="45" t="n">
        <x:v>0.03</x:v>
      </x:c>
      <x:c r="B11" s="44" t="n">
        <x:f>SUM('Convertible Note'!E18:AO18)*A11/'Assumptions'!$B$6</x:f>
        <x:v>236309.58904109598</x:v>
      </x:c>
      <x:c r="C11" s="44" t="n">
        <x:f>B12-B11</x:f>
        <x:v>78769.86301369866</x:v>
      </x:c>
      <x:c r="D11" s="43" t="str">
        <x:v>Lower coupon increases ending cash before tax effects</x:v>
      </x:c>
      <x:c r="E11" s="43"/>
      <x:c r="F11" s="43"/>
      <x:c r="G11" s="43"/>
      <x:c r="H11" s="43"/>
    </x:row>
    <x:row r="12">
      <x:c r="A12" s="45" t="n">
        <x:v>0.04</x:v>
      </x:c>
      <x:c r="B12" s="44" t="n">
        <x:f>SUM('Convertible Note'!E18:AO18)*A12/'Assumptions'!$B$6</x:f>
        <x:v>315079.45205479464</x:v>
      </x:c>
      <x:c r="C12" s="44" t="n">
        <x:f>0</x:f>
        <x:v>0</x:v>
      </x:c>
      <x:c r="D12" s="43" t="str">
        <x:v>Base note term</x:v>
      </x:c>
      <x:c r="E12" s="43"/>
      <x:c r="F12" s="43"/>
      <x:c r="G12" s="43"/>
      <x:c r="H12" s="43"/>
    </x:row>
    <x:row r="13">
      <x:c r="A13" s="45" t="n">
        <x:v>0.05</x:v>
      </x:c>
      <x:c r="B13" s="44" t="n">
        <x:f>SUM('Convertible Note'!E18:AO18)*A13/'Assumptions'!$B$6</x:f>
        <x:v>393849.3150684933</x:v>
      </x:c>
      <x:c r="C13" s="44" t="n">
        <x:f>B12-B13</x:f>
        <x:v>-78769.86301369866</x:v>
      </x:c>
      <x:c r="D13" s="43" t="str">
        <x:v>Higher coupon decreases ending cash before tax effects</x:v>
      </x:c>
      <x:c r="E13" s="43"/>
      <x:c r="F13" s="43"/>
      <x:c r="G13" s="43"/>
      <x:c r="H13" s="43"/>
    </x:row>
  </x:sheetData>
  <x:mergeCells>
    <x:mergeCell ref="A1:H1"/>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20" hidden="0" customWidth="1"/>
    <x:col min="3" max="3" width="48" hidden="0" customWidth="1"/>
  </x:cols>
  <x:sheetData>
    <x:row r="1" ht="30" customHeight="1">
      <x:c r="A1" s="31" t="str">
        <x:v>SVT Nexus — Operating Break-Even Analysis</x:v>
      </x:c>
      <x:c r="B1" s="31"/>
      <x:c r="C1" s="31"/>
      <x:c r="D1" s="31"/>
      <x:c r="E1" s="31"/>
      <x:c r="F1" s="31"/>
    </x:row>
    <x:row r="2">
      <x:c r="A2" s="42" t="str">
        <x:v>Version 3 | Model date: 21 Aug 2026 | Proposed structure — management and securities counsel review required</x:v>
      </x:c>
      <x:c r="B2" s="42"/>
      <x:c r="C2" s="42"/>
      <x:c r="D2" s="42"/>
      <x:c r="E2" s="42"/>
      <x:c r="F2" s="42"/>
    </x:row>
    <x:row r="3">
      <x:c r="A3" s="43"/>
      <x:c r="B3" s="43"/>
      <x:c r="C3" s="43"/>
      <x:c r="D3" s="43"/>
      <x:c r="E3" s="43"/>
      <x:c r="F3" s="43"/>
    </x:row>
    <x:row r="4">
      <x:c r="A4" s="15" t="str">
        <x:v>Metric</x:v>
      </x:c>
      <x:c r="B4" s="15" t="str">
        <x:v>Base Case</x:v>
      </x:c>
      <x:c r="C4" s="15" t="str">
        <x:v>Explanation</x:v>
      </x:c>
      <x:c r="D4" s="43"/>
      <x:c r="E4" s="43"/>
      <x:c r="F4" s="43"/>
    </x:row>
    <x:row r="5">
      <x:c r="A5" s="43" t="str">
        <x:v>Steady-state gross monthly revenue / 12 clients</x:v>
      </x:c>
      <x:c r="B5" s="44" t="n">
        <x:f>6*'Assumptions'!$G$16+3*'Assumptions'!$G$17+3*'Assumptions'!$G$18</x:f>
        <x:v>147000</x:v>
      </x:c>
      <x:c r="C5" s="43" t="str">
        <x:v>Post-July category mix before annual growth</x:v>
      </x:c>
      <x:c r="D5" s="43"/>
      <x:c r="E5" s="43"/>
      <x:c r="F5" s="43"/>
    </x:row>
    <x:row r="6">
      <x:c r="A6" s="43" t="str">
        <x:v>Bad debt reserve</x:v>
      </x:c>
      <x:c r="B6" s="44" t="n">
        <x:f>-B5*'Assumptions'!$B$10</x:f>
        <x:v>-2940</x:v>
      </x:c>
      <x:c r="C6" s="43" t="str">
        <x:v>2% planning reserve</x:v>
      </x:c>
      <x:c r="D6" s="43"/>
      <x:c r="E6" s="43"/>
      <x:c r="F6" s="43"/>
    </x:row>
    <x:row r="7">
      <x:c r="A7" s="43" t="str">
        <x:v>Net revenue</x:v>
      </x:c>
      <x:c r="B7" s="44" t="n">
        <x:f>SUM(B5:B6)</x:f>
        <x:v>144060</x:v>
      </x:c>
      <x:c r="C7" s="43" t="str">
        <x:v>Gross revenue less bad debt</x:v>
      </x:c>
      <x:c r="D7" s="43"/>
      <x:c r="E7" s="43"/>
      <x:c r="F7" s="43"/>
    </x:row>
    <x:row r="8">
      <x:c r="A8" s="43" t="str">
        <x:v>Direct project costs</x:v>
      </x:c>
      <x:c r="B8" s="44" t="n">
        <x:f>-(6*'Assumptions'!$G$16*'Assumptions'!$H$16+3*'Assumptions'!$G$17*'Assumptions'!$H$17+3*'Assumptions'!$G$18*'Assumptions'!$H$18)</x:f>
        <x:v>-30600</x:v>
      </x:c>
      <x:c r="C8" s="43" t="str">
        <x:v>15% / 20% / 30% category cost rates</x:v>
      </x:c>
      <x:c r="D8" s="43"/>
      <x:c r="E8" s="43"/>
      <x:c r="F8" s="43"/>
    </x:row>
    <x:row r="9">
      <x:c r="A9" s="43" t="str">
        <x:v>Monthly contribution</x:v>
      </x:c>
      <x:c r="B9" s="44" t="n">
        <x:f>SUM(B7:B8)</x:f>
        <x:v>113460</x:v>
      </x:c>
      <x:c r="C9" s="43" t="str">
        <x:v>Net revenue less direct costs</x:v>
      </x:c>
      <x:c r="D9" s="43"/>
      <x:c r="E9" s="43"/>
      <x:c r="F9" s="43"/>
    </x:row>
    <x:row r="10">
      <x:c r="A10" s="43" t="str">
        <x:v>Contribution margin</x:v>
      </x:c>
      <x:c r="B10" s="45" t="n">
        <x:f>B9/B5</x:f>
        <x:v>0.7718367346938776</x:v>
      </x:c>
      <x:c r="C10" s="43" t="str">
        <x:v>Contribution divided by gross revenue</x:v>
      </x:c>
      <x:c r="D10" s="43"/>
      <x:c r="E10" s="43"/>
      <x:c r="F10" s="43"/>
    </x:row>
    <x:row r="11">
      <x:c r="A11" s="43" t="str">
        <x:v>Monthly fixed operating expenses</x:v>
      </x:c>
      <x:c r="B11" s="44" t="n">
        <x:f>-'Operating Model'!C13</x:f>
        <x:v>128300</x:v>
      </x:c>
      <x:c r="C11" s="43" t="str">
        <x:v>January 2027 recurring budget</x:v>
      </x:c>
      <x:c r="D11" s="43"/>
      <x:c r="E11" s="43"/>
      <x:c r="F11" s="43"/>
    </x:row>
    <x:row r="12">
      <x:c r="A12" s="43" t="str">
        <x:v>Revenue break-even</x:v>
      </x:c>
      <x:c r="B12" s="44" t="n">
        <x:f>B11/B10</x:f>
        <x:v>166226.86409307245</x:v>
      </x:c>
      <x:c r="C12" s="43" t="str">
        <x:v>Monthly gross revenue required to cover fixed costs</x:v>
      </x:c>
      <x:c r="D12" s="43"/>
      <x:c r="E12" s="43"/>
      <x:c r="F12" s="43"/>
    </x:row>
    <x:row r="13">
      <x:c r="A13" s="43" t="str">
        <x:v>Equivalent clients at current mix</x:v>
      </x:c>
      <x:c r="B13" s="56" t="n">
        <x:f>B12/(B5/12)</x:f>
        <x:v>13.569539925965097</x:v>
      </x:c>
      <x:c r="C13" s="43" t="str">
        <x:v>Approximate client equivalents</x:v>
      </x:c>
      <x:c r="D13" s="43"/>
      <x:c r="E13" s="43"/>
      <x:c r="F13" s="43"/>
    </x:row>
  </x:sheetData>
  <x:mergeCells>
    <x:mergeCell ref="A1:F1"/>
    <x:mergeCell ref="A2:F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0" hidden="0" customWidth="1"/>
    <x:col min="2" max="2" width="16" hidden="0" customWidth="1"/>
    <x:col min="3" max="3" width="16" hidden="0" customWidth="1"/>
    <x:col min="4" max="4" width="16" hidden="0" customWidth="1"/>
    <x:col min="5" max="5" width="52" hidden="0" customWidth="1"/>
  </x:cols>
  <x:sheetData>
    <x:row r="1" ht="30" customHeight="1">
      <x:c r="A1" s="31" t="str">
        <x:v>SVT Nexus — Enterprise Sales Funnel Support</x:v>
      </x:c>
      <x:c r="B1" s="31"/>
      <x:c r="C1" s="31"/>
      <x:c r="D1" s="31"/>
      <x:c r="E1" s="31"/>
      <x:c r="F1" s="31"/>
      <x:c r="G1" s="31"/>
    </x:row>
    <x:row r="2">
      <x:c r="A2" s="42" t="str">
        <x:v>Version 3 | Model date: 21 Aug 2026 | Proposed structure — management and securities counsel review required</x:v>
      </x:c>
      <x:c r="B2" s="42"/>
      <x:c r="C2" s="42"/>
      <x:c r="D2" s="42"/>
      <x:c r="E2" s="42"/>
      <x:c r="F2" s="42"/>
      <x:c r="G2" s="42"/>
    </x:row>
    <x:row r="3">
      <x:c r="A3" s="43"/>
      <x:c r="B3" s="43"/>
      <x:c r="C3" s="43"/>
      <x:c r="D3" s="43"/>
      <x:c r="E3" s="43"/>
      <x:c r="F3" s="43"/>
      <x:c r="G3" s="43"/>
    </x:row>
    <x:row r="4">
      <x:c r="A4" s="15" t="str">
        <x:v>Funnel metric</x:v>
      </x:c>
      <x:c r="B4" s="15" t="str">
        <x:v>2027</x:v>
      </x:c>
      <x:c r="C4" s="15" t="str">
        <x:v>2028</x:v>
      </x:c>
      <x:c r="D4" s="15" t="str">
        <x:v>2029</x:v>
      </x:c>
      <x:c r="E4" s="15" t="str">
        <x:v>Planning basis</x:v>
      </x:c>
      <x:c r="F4" s="43"/>
      <x:c r="G4" s="43"/>
    </x:row>
    <x:row r="5">
      <x:c r="A5" s="43" t="str">
        <x:v>Qualified leads</x:v>
      </x:c>
      <x:c r="B5" s="43" t="n">
        <x:v>240</x:v>
      </x:c>
      <x:c r="C5" s="43" t="n">
        <x:v>180</x:v>
      </x:c>
      <x:c r="D5" s="43" t="n">
        <x:v>180</x:v>
      </x:c>
      <x:c r="E5" s="43" t="str">
        <x:v>Management pipeline target; replace with CRM evidence</x:v>
      </x:c>
      <x:c r="F5" s="43"/>
      <x:c r="G5" s="43"/>
    </x:row>
    <x:row r="6">
      <x:c r="A6" s="43" t="str">
        <x:v>Demos / discovery</x:v>
      </x:c>
      <x:c r="B6" s="43" t="n">
        <x:v>72</x:v>
      </x:c>
      <x:c r="C6" s="43" t="n">
        <x:v>54</x:v>
      </x:c>
      <x:c r="D6" s="43" t="n">
        <x:v>54</x:v>
      </x:c>
      <x:c r="E6" s="43" t="str">
        <x:v>30% lead-to-demo assumption</x:v>
      </x:c>
      <x:c r="F6" s="43"/>
      <x:c r="G6" s="43"/>
    </x:row>
    <x:row r="7">
      <x:c r="A7" s="43" t="str">
        <x:v>Paid or documented pilots</x:v>
      </x:c>
      <x:c r="B7" s="43" t="n">
        <x:v>24</x:v>
      </x:c>
      <x:c r="C7" s="43" t="n">
        <x:v>18</x:v>
      </x:c>
      <x:c r="D7" s="43" t="n">
        <x:v>18</x:v>
      </x:c>
      <x:c r="E7" s="43" t="str">
        <x:v>One-third of demos</x:v>
      </x:c>
      <x:c r="F7" s="43"/>
      <x:c r="G7" s="43"/>
    </x:row>
    <x:row r="8">
      <x:c r="A8" s="43" t="str">
        <x:v>New clients</x:v>
      </x:c>
      <x:c r="B8" s="43" t="n">
        <x:v>12</x:v>
      </x:c>
      <x:c r="C8" s="43" t="n">
        <x:v>6</x:v>
      </x:c>
      <x:c r="D8" s="43" t="n">
        <x:v>6</x:v>
      </x:c>
      <x:c r="E8" s="43" t="str">
        <x:v>50% pilot-to-client conversion</x:v>
      </x:c>
      <x:c r="F8" s="43"/>
      <x:c r="G8" s="43"/>
    </x:row>
    <x:row r="9">
      <x:c r="A9" s="43" t="str">
        <x:v>Ending clients</x:v>
      </x:c>
      <x:c r="B9" s="43" t="n">
        <x:v>12</x:v>
      </x:c>
      <x:c r="C9" s="43" t="n">
        <x:v>18</x:v>
      </x:c>
      <x:c r="D9" s="43" t="n">
        <x:v>24</x:v>
      </x:c>
      <x:c r="E9" s="43" t="str">
        <x:v>Base Case operating capacity</x:v>
      </x:c>
      <x:c r="F9" s="43"/>
      <x:c r="G9" s="43"/>
    </x:row>
    <x:row r="10">
      <x:c r="A10" s="43" t="str">
        <x:v>Lead-to-demo conversion</x:v>
      </x:c>
      <x:c r="B10" s="45" t="n">
        <x:f>B6/B5</x:f>
        <x:v>0.3</x:v>
      </x:c>
      <x:c r="C10" s="45" t="n">
        <x:f>C6/C5</x:f>
        <x:v>0.3</x:v>
      </x:c>
      <x:c r="D10" s="45" t="n">
        <x:f>D6/D5</x:f>
        <x:v>0.3</x:v>
      </x:c>
      <x:c r="E10" s="43" t="str">
        <x:v>Analytical safeguard</x:v>
      </x:c>
      <x:c r="F10" s="43"/>
      <x:c r="G10" s="43"/>
    </x:row>
    <x:row r="11">
      <x:c r="A11" s="43" t="str">
        <x:v>Demo-to-pilot conversion</x:v>
      </x:c>
      <x:c r="B11" s="45" t="n">
        <x:f>B7/B6</x:f>
        <x:v>0.3333333333333333</x:v>
      </x:c>
      <x:c r="C11" s="45" t="n">
        <x:f>C7/C6</x:f>
        <x:v>0.3333333333333333</x:v>
      </x:c>
      <x:c r="D11" s="45" t="n">
        <x:f>D7/D6</x:f>
        <x:v>0.3333333333333333</x:v>
      </x:c>
      <x:c r="E11" s="43" t="str">
        <x:v>Analytical safeguard</x:v>
      </x:c>
      <x:c r="F11" s="43"/>
      <x:c r="G11" s="43"/>
    </x:row>
    <x:row r="12">
      <x:c r="A12" s="43" t="str">
        <x:v>Pilot-to-client conversion</x:v>
      </x:c>
      <x:c r="B12" s="45" t="n">
        <x:f>B8/B7</x:f>
        <x:v>0.5</x:v>
      </x:c>
      <x:c r="C12" s="45" t="n">
        <x:f>C8/C7</x:f>
        <x:v>0.3333333333333333</x:v>
      </x:c>
      <x:c r="D12" s="45" t="n">
        <x:f>D8/D7</x:f>
        <x:v>0.3333333333333333</x:v>
      </x:c>
      <x:c r="E12" s="43" t="str">
        <x:v>Analytical safeguard</x:v>
      </x:c>
      <x:c r="F12" s="43"/>
      <x:c r="G12" s="43"/>
    </x:row>
    <x:row r="13">
      <x:c r="A13" s="43" t="str">
        <x:v>Sales &amp; marketing spend per new client</x:v>
      </x:c>
      <x:c r="B13" s="44" t="n">
        <x:f>-SUM('Operating Model'!C7:N7)/B8</x:f>
        <x:v>35000</x:v>
      </x:c>
      <x:c r="C13" s="44" t="n">
        <x:f>-SUM('Operating Model'!O7:Z7)/C8</x:f>
        <x:v>77000.00000000001</x:v>
      </x:c>
      <x:c r="D13" s="44" t="n">
        <x:f>-SUM('Operating Model'!AA7:AL7)/D8</x:f>
        <x:v>84700.00000000001</x:v>
      </x:c>
      <x:c r="E13" s="43" t="str">
        <x:v>Includes enterprise team, events and pilot programs</x:v>
      </x:c>
      <x:c r="F13" s="43"/>
      <x:c r="G13" s="43"/>
    </x:row>
    <x:row r="14">
      <x:c r="A14" s="43"/>
      <x:c r="B14" s="43"/>
      <x:c r="C14" s="43"/>
      <x:c r="D14" s="43"/>
      <x:c r="E14" s="43"/>
      <x:c r="F14" s="43"/>
      <x:c r="G14" s="43"/>
    </x:row>
    <x:row r="15">
      <x:c r="A15" s="49" t="str">
        <x:v>No pipeline count is represented as existing evidence. Management should reconcile this planning funnel to CRM records, dated proposals, LOIs/MOUs, and definitive contracts before investor use.</x:v>
      </x:c>
      <x:c r="B15" s="49"/>
      <x:c r="C15" s="49"/>
      <x:c r="D15" s="49"/>
      <x:c r="E15" s="49"/>
      <x:c r="F15" s="43"/>
      <x:c r="G15" s="43"/>
    </x:row>
  </x:sheetData>
  <x:mergeCells>
    <x:mergeCell ref="A1:G1"/>
    <x:mergeCell ref="A2:G2"/>
    <x:mergeCell ref="A15:E15"/>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3" max="3" width="18" hidden="0" customWidth="1"/>
    <x:col min="4" max="4" width="18" hidden="0" customWidth="1"/>
    <x:col min="5" max="5" width="18" hidden="0" customWidth="1"/>
  </x:cols>
  <x:sheetData>
    <x:row r="1" ht="30" customHeight="1">
      <x:c r="A1" s="31" t="str">
        <x:v>SVT Nexus — Simplified Tax and Section 163(j) Stress Test</x:v>
      </x:c>
      <x:c r="B1" s="31"/>
      <x:c r="C1" s="31"/>
      <x:c r="D1" s="31"/>
      <x:c r="E1" s="31"/>
      <x:c r="F1" s="31"/>
    </x:row>
    <x:row r="2">
      <x:c r="A2" s="42" t="str">
        <x:v>Version 3 | Model date: 21 Aug 2026 | Proposed structure — management and securities counsel review required</x:v>
      </x:c>
      <x:c r="B2" s="42"/>
      <x:c r="C2" s="42"/>
      <x:c r="D2" s="42"/>
      <x:c r="E2" s="42"/>
      <x:c r="F2" s="42"/>
    </x:row>
    <x:row r="3">
      <x:c r="A3" s="43"/>
      <x:c r="B3" s="43"/>
      <x:c r="C3" s="43"/>
      <x:c r="D3" s="43"/>
      <x:c r="E3" s="43"/>
      <x:c r="F3" s="43"/>
    </x:row>
    <x:row r="4">
      <x:c r="A4" s="15" t="str">
        <x:v>Tax metric</x:v>
      </x:c>
      <x:c r="B4" s="15" t="str">
        <x:v>2026</x:v>
      </x:c>
      <x:c r="C4" s="15" t="str">
        <x:v>2027</x:v>
      </x:c>
      <x:c r="D4" s="15" t="str">
        <x:v>2028</x:v>
      </x:c>
      <x:c r="E4" s="15" t="str">
        <x:v>2029</x:v>
      </x:c>
      <x:c r="F4" s="43"/>
    </x:row>
    <x:row r="5">
      <x:c r="A5" s="43" t="str">
        <x:v>Simplified ATI / operating income</x:v>
      </x:c>
      <x:c r="B5" s="44" t="n">
        <x:f>MAX(0,SUM('Income Statement'!B8:B8))</x:f>
        <x:v>0</x:v>
      </x:c>
      <x:c r="C5" s="44" t="n">
        <x:f>MAX(0,SUM('Income Statement'!C8:N8))</x:f>
        <x:v>0</x:v>
      </x:c>
      <x:c r="D5" s="44" t="n">
        <x:f>MAX(0,SUM('Income Statement'!O8:Z8))</x:f>
        <x:v>440182.59999999974</x:v>
      </x:c>
      <x:c r="E5" s="44" t="n">
        <x:f>MAX(0,SUM('Income Statement'!AA8:AL8))</x:f>
        <x:v>1266734.48</x:v>
      </x:c>
      <x:c r="F5" s="43"/>
    </x:row>
    <x:row r="6">
      <x:c r="A6" s="43" t="str">
        <x:v>Total business interest expense</x:v>
      </x:c>
      <x:c r="B6" s="44" t="n">
        <x:f>-SUM('Income Statement'!B9:B9)</x:f>
        <x:v>1146.5753424657535</x:v>
      </x:c>
      <x:c r="C6" s="44" t="n">
        <x:f>-SUM('Income Statement'!C9:N9)</x:f>
        <x:v>167042.46575342465</x:v>
      </x:c>
      <x:c r="D6" s="44" t="n">
        <x:f>-SUM('Income Statement'!O9:Z9)</x:f>
        <x:v>270739.72602739726</x:v>
      </x:c>
      <x:c r="E6" s="44" t="n">
        <x:f>-SUM('Income Statement'!AA9:AL9)</x:f>
        <x:v>270000.00000000006</x:v>
      </x:c>
      <x:c r="F6" s="43"/>
    </x:row>
    <x:row r="7">
      <x:c r="A7" s="43" t="str">
        <x:v>30% ATI capacity</x:v>
      </x:c>
      <x:c r="B7" s="44" t="n">
        <x:f>B5*30%</x:f>
        <x:v>0</x:v>
      </x:c>
      <x:c r="C7" s="44" t="n">
        <x:f>C5*30%</x:f>
        <x:v>0</x:v>
      </x:c>
      <x:c r="D7" s="44" t="n">
        <x:f>D5*30%</x:f>
        <x:v>132054.7799999999</x:v>
      </x:c>
      <x:c r="E7" s="44" t="n">
        <x:f>E5*30%</x:f>
        <x:v>380020.344</x:v>
      </x:c>
      <x:c r="F7" s="43"/>
    </x:row>
    <x:row r="8">
      <x:c r="A8" s="43" t="str">
        <x:v>Current-year deductible interest</x:v>
      </x:c>
      <x:c r="B8" s="44" t="n">
        <x:f>IF('Assumptions'!$B$29=1,MIN(B6,B7),B6)</x:f>
        <x:v>0</x:v>
      </x:c>
      <x:c r="C8" s="44" t="n">
        <x:f>IF('Assumptions'!$B$29=1,MIN(C6,C7),C6)</x:f>
        <x:v>0</x:v>
      </x:c>
      <x:c r="D8" s="44" t="n">
        <x:f>IF('Assumptions'!$B$29=1,MIN(D6,D7),D6)</x:f>
        <x:v>132054.7799999999</x:v>
      </x:c>
      <x:c r="E8" s="44" t="n">
        <x:f>IF('Assumptions'!$B$29=1,MIN(E6,E7),E6)</x:f>
        <x:v>270000.00000000006</x:v>
      </x:c>
      <x:c r="F8" s="43"/>
    </x:row>
    <x:row r="9">
      <x:c r="A9" s="43" t="str">
        <x:v>Ending disallowed-interest carryforward</x:v>
      </x:c>
      <x:c r="B9" s="44" t="n">
        <x:f>B6-B8</x:f>
        <x:v>1146.5753424657535</x:v>
      </x:c>
      <x:c r="C9" s="44" t="n">
        <x:f>B9+C6-C8</x:f>
        <x:v>168189.0410958904</x:v>
      </x:c>
      <x:c r="D9" s="44" t="n">
        <x:f>C9+D6-D8</x:f>
        <x:v>306873.98712328775</x:v>
      </x:c>
      <x:c r="E9" s="44" t="n">
        <x:f>D9+E6-E8</x:f>
        <x:v>306873.9871232877</x:v>
      </x:c>
      <x:c r="F9" s="43"/>
    </x:row>
    <x:row r="10">
      <x:c r="A10" s="43" t="str">
        <x:v>Simplified taxable income</x:v>
      </x:c>
      <x:c r="B10" s="44" t="n">
        <x:f>MAX(0,B5-B8)</x:f>
        <x:v>0</x:v>
      </x:c>
      <x:c r="C10" s="44" t="n">
        <x:f>MAX(0,C5-C8)</x:f>
        <x:v>0</x:v>
      </x:c>
      <x:c r="D10" s="44" t="n">
        <x:f>MAX(0,D5-D8)</x:f>
        <x:v>308127.81999999983</x:v>
      </x:c>
      <x:c r="E10" s="44" t="n">
        <x:f>MAX(0,E5-E8)</x:f>
        <x:v>996734.48</x:v>
      </x:c>
      <x:c r="F10" s="43"/>
    </x:row>
    <x:row r="11">
      <x:c r="A11" s="43" t="str">
        <x:v>Tax provision at 26%</x:v>
      </x:c>
      <x:c r="B11" s="44" t="n">
        <x:f>B10*'Assumptions'!$B$9</x:f>
        <x:v>0</x:v>
      </x:c>
      <x:c r="C11" s="44" t="n">
        <x:f>C10*'Assumptions'!$B$9</x:f>
        <x:v>0</x:v>
      </x:c>
      <x:c r="D11" s="44" t="n">
        <x:f>D10*'Assumptions'!$B$9</x:f>
        <x:v>80113.23319999996</x:v>
      </x:c>
      <x:c r="E11" s="44" t="n">
        <x:f>E10*'Assumptions'!$B$9</x:f>
        <x:v>259150.96480000002</x:v>
      </x:c>
      <x:c r="F11" s="43"/>
    </x:row>
    <x:row r="12">
      <x:c r="A12" s="43"/>
      <x:c r="B12" s="43"/>
      <x:c r="C12" s="43"/>
      <x:c r="D12" s="43"/>
      <x:c r="E12" s="43"/>
      <x:c r="F12" s="43"/>
    </x:row>
    <x:row r="13">
      <x:c r="A13" s="49" t="str">
        <x:v>Planning safeguard only. Section 163(j) generally limits deductible business interest to business interest income plus 30% of adjusted taxable income and floor-plan financing interest when applicable. Certain small businesses may be exempt. Entity status, gross receipts, ATI adjustments, carryforwards, and PIK/OID treatment require tax-adviser review. Source: https://www.irs.gov/newsroom/questions-and-answers-about-the-limitation-on-the-deduction-for-business-interest-expense</x:v>
      </x:c>
      <x:c r="B13" s="49"/>
      <x:c r="C13" s="49"/>
      <x:c r="D13" s="49"/>
      <x:c r="E13" s="49"/>
      <x:c r="F13" s="43"/>
    </x:row>
    <x:row r="14">
      <x:c r="A14" s="49"/>
      <x:c r="B14" s="49"/>
      <x:c r="C14" s="49"/>
      <x:c r="D14" s="49"/>
      <x:c r="E14" s="49"/>
      <x:c r="F14" s="43"/>
    </x:row>
    <x:row r="15">
      <x:c r="A15" s="49"/>
      <x:c r="B15" s="49"/>
      <x:c r="C15" s="49"/>
      <x:c r="D15" s="49"/>
      <x:c r="E15" s="49"/>
      <x:c r="F15" s="43"/>
    </x:row>
  </x:sheetData>
  <x:mergeCells>
    <x:mergeCell ref="A1:F1"/>
    <x:mergeCell ref="A2:F2"/>
    <x:mergeCell ref="A13:E15"/>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0" hidden="0" customWidth="1"/>
    <x:col min="2" max="2" width="48" hidden="0" customWidth="1"/>
    <x:col min="3" max="3" width="48" hidden="0" customWidth="1"/>
    <x:col min="4" max="4" width="18" hidden="0" customWidth="1"/>
    <x:col min="5" max="5" width="18" hidden="0" customWidth="1"/>
    <x:col min="6" max="6" width="55" hidden="0" customWidth="1"/>
  </x:cols>
  <x:sheetData>
    <x:row r="1" ht="30" customHeight="1">
      <x:c r="A1" s="31" t="str">
        <x:v>SVT Nexus — Offering, Accounting and Governance Roadmap</x:v>
      </x:c>
      <x:c r="B1" s="31"/>
      <x:c r="C1" s="31"/>
      <x:c r="D1" s="31"/>
      <x:c r="E1" s="31"/>
      <x:c r="F1" s="31"/>
    </x:row>
    <x:row r="2">
      <x:c r="A2" s="42" t="str">
        <x:v>Version 3 | Model date: 21 Aug 2026 | Proposed structure — management and securities counsel review required</x:v>
      </x:c>
      <x:c r="B2" s="42"/>
      <x:c r="C2" s="42"/>
      <x:c r="D2" s="42"/>
      <x:c r="E2" s="42"/>
      <x:c r="F2" s="42"/>
    </x:row>
    <x:row r="3">
      <x:c r="A3" s="43"/>
      <x:c r="B3" s="43"/>
      <x:c r="C3" s="43"/>
      <x:c r="D3" s="43"/>
      <x:c r="E3" s="43"/>
      <x:c r="F3" s="43"/>
    </x:row>
    <x:row r="4">
      <x:c r="A4" s="15" t="str">
        <x:v>Area</x:v>
      </x:c>
      <x:c r="B4" s="15" t="str">
        <x:v>Requirement / issue</x:v>
      </x:c>
      <x:c r="C4" s="15" t="str">
        <x:v>Version 3 treatment</x:v>
      </x:c>
      <x:c r="D4" s="15" t="str">
        <x:v>Owner</x:v>
      </x:c>
      <x:c r="E4" s="15" t="str">
        <x:v>Priority</x:v>
      </x:c>
      <x:c r="F4" s="15" t="str">
        <x:v>Primary source</x:v>
      </x:c>
    </x:row>
    <x:row r="5">
      <x:c r="A5" s="59" t="str">
        <x:v>Rule 506(c)</x:v>
      </x:c>
      <x:c r="B5" s="59" t="str">
        <x:v>All purchasers accredited; reasonable verification steps</x:v>
      </x:c>
      <x:c r="C5" s="59" t="str">
        <x:v>Working exemption only; counsel confirmation required</x:v>
      </x:c>
      <x:c r="D5" s="59" t="str">
        <x:v>Securities counsel</x:v>
      </x:c>
      <x:c r="E5" s="59" t="str">
        <x:v>Immediate</x:v>
      </x:c>
      <x:c r="F5" s="59" t="str">
        <x:v>https://www.sec.gov/resources-small-businesses/exempt-offerings/general-solicitation-rule-506c</x:v>
      </x:c>
    </x:row>
    <x:row r="6">
      <x:c r="A6" s="59" t="str">
        <x:v>Investor verification</x:v>
      </x:c>
      <x:c r="B6" s="59" t="str">
        <x:v>Document-based or qualified-professional verification methods</x:v>
      </x:c>
      <x:c r="C6" s="59" t="str">
        <x:v>Not performed by financial model</x:v>
      </x:c>
      <x:c r="D6" s="59" t="str">
        <x:v>Issuer / counsel</x:v>
      </x:c>
      <x:c r="E6" s="59" t="str">
        <x:v>Immediate</x:v>
      </x:c>
      <x:c r="F6" s="59" t="str">
        <x:v>https://www.sec.gov/resources-small-businesses/capital-raising-building-blocks/assessing-accredited-investors-under-regulation-d</x:v>
      </x:c>
    </x:row>
    <x:row r="7">
      <x:c r="A7" s="59" t="str">
        <x:v>Form D</x:v>
      </x:c>
      <x:c r="B7" s="59" t="str">
        <x:v>Generally due within 15 days after first sale</x:v>
      </x:c>
      <x:c r="C7" s="59" t="str">
        <x:v>Calendar action; filing not represented as completed</x:v>
      </x:c>
      <x:c r="D7" s="59" t="str">
        <x:v>Securities counsel</x:v>
      </x:c>
      <x:c r="E7" s="59" t="str">
        <x:v>Immediate</x:v>
      </x:c>
      <x:c r="F7" s="59" t="str">
        <x:v>https://www.sec.gov/resources-small-businesses/capital-raising-building-blocks/what-form-d</x:v>
      </x:c>
    </x:row>
    <x:row r="8">
      <x:c r="A8" s="59" t="str">
        <x:v>PPM package</x:v>
      </x:c>
      <x:c r="B8" s="59" t="str">
        <x:v>Memo is not a PPM; risk factors and subscription documents required</x:v>
      </x:c>
      <x:c r="C8" s="59" t="str">
        <x:v>Prominent limitation retained</x:v>
      </x:c>
      <x:c r="D8" s="59" t="str">
        <x:v>Securities counsel</x:v>
      </x:c>
      <x:c r="E8" s="59" t="str">
        <x:v>Immediate</x:v>
      </x:c>
      <x:c r="F8" s="59" t="str">
        <x:v>https://www.sec.gov/resources-small-businesses/exempt-offerings/general-solicitation-rule-506c</x:v>
      </x:c>
    </x:row>
    <x:row r="9">
      <x:c r="A9" s="59" t="str">
        <x:v>ASC 606</x:v>
      </x:c>
      <x:c r="B9" s="59" t="str">
        <x:v>Contract, performance obligations, variable consideration and timing</x:v>
      </x:c>
      <x:c r="C9" s="59" t="str">
        <x:v>Linear forecast is planning-only</x:v>
      </x:c>
      <x:c r="D9" s="59" t="str">
        <x:v>Accounting adviser</x:v>
      </x:c>
      <x:c r="E9" s="59" t="str">
        <x:v>High</x:v>
      </x:c>
      <x:c r="F9" s="59" t="str">
        <x:v>https://storage.fasb.org/Rev_Rec_Implementation_QAs.pdf</x:v>
      </x:c>
    </x:row>
    <x:row r="10">
      <x:c r="A10" s="59" t="str">
        <x:v>Convertible accounting</x:v>
      </x:c>
      <x:c r="B10" s="59" t="str">
        <x:v>Debt classification and embedded features require analysis</x:v>
      </x:c>
      <x:c r="C10" s="59" t="str">
        <x:v>Cash/PIK shown; derivative value not recorded</x:v>
      </x:c>
      <x:c r="D10" s="59" t="str">
        <x:v>Accounting adviser</x:v>
      </x:c>
      <x:c r="E10" s="59" t="str">
        <x:v>High</x:v>
      </x:c>
      <x:c r="F10" s="59" t="str">
        <x:v>https://storage.fasb.org/ASU_2020-06.pdf</x:v>
      </x:c>
    </x:row>
    <x:row r="11">
      <x:c r="A11" s="59" t="str">
        <x:v>Section 163(j)</x:v>
      </x:c>
      <x:c r="B11" s="59" t="str">
        <x:v>Potential business-interest deduction limitation</x:v>
      </x:c>
      <x:c r="C11" s="59" t="str">
        <x:v>Stress test added; exemption not concluded</x:v>
      </x:c>
      <x:c r="D11" s="59" t="str">
        <x:v>Tax adviser</x:v>
      </x:c>
      <x:c r="E11" s="59" t="str">
        <x:v>High</x:v>
      </x:c>
      <x:c r="F11" s="59" t="str">
        <x:v>https://www.irs.gov/newsroom/questions-and-answers-about-the-limitation-on-the-deduction-for-business-interest-expense</x:v>
      </x:c>
    </x:row>
    <x:row r="12">
      <x:c r="A12" s="59" t="str">
        <x:v>Data room</x:v>
      </x:c>
      <x:c r="B12" s="59" t="str">
        <x:v>Pipeline evidence, LOIs/MOUs and contracts</x:v>
      </x:c>
      <x:c r="C12" s="59" t="str">
        <x:v>Sales funnel explicitly labeled unsupported until reconciled</x:v>
      </x:c>
      <x:c r="D12" s="59" t="str">
        <x:v>Management</x:v>
      </x:c>
      <x:c r="E12" s="59" t="str">
        <x:v>High</x:v>
      </x:c>
      <x:c r="F12" s="59" t="str">
        <x:v>Internal management evidence</x:v>
      </x:c>
    </x:row>
  </x:sheetData>
  <x:mergeCells>
    <x:mergeCell ref="A1:F1"/>
    <x:mergeCell ref="A2:F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16" hidden="0" customWidth="1"/>
    <x:col min="4" max="4" width="16" hidden="0" customWidth="1"/>
    <x:col min="5" max="5" width="16" hidden="0" customWidth="1"/>
    <x:col min="6" max="6" width="3" hidden="0" customWidth="1"/>
    <x:col min="7" max="7" width="25" hidden="0" customWidth="1"/>
    <x:col min="8" max="8" width="31" hidden="0" customWidth="1"/>
    <x:col min="9" max="9" width="31" hidden="0" customWidth="1"/>
    <x:col min="10" max="10" width="18" hidden="0" customWidth="1"/>
  </x:cols>
  <x:sheetData>
    <x:row r="1" ht="30" customHeight="1">
      <x:c r="A1" s="31" t="str">
        <x:v>SVT Nexus — Version 3 Investor Financial Summary</x:v>
      </x:c>
      <x:c r="B1" s="31"/>
      <x:c r="C1" s="31"/>
      <x:c r="D1" s="31"/>
      <x:c r="E1" s="31"/>
      <x:c r="F1" s="31"/>
      <x:c r="G1" s="31"/>
      <x:c r="H1" s="31"/>
      <x:c r="I1" s="31"/>
      <x:c r="J1" s="31"/>
    </x:row>
    <x:row r="2">
      <x:c r="A2" s="42" t="str">
        <x:v>Version 3 | Model date: 21 Aug 2026 | Proposed structure — management and securities counsel review required</x:v>
      </x:c>
      <x:c r="B2" s="42"/>
      <x:c r="C2" s="42"/>
      <x:c r="D2" s="42"/>
      <x:c r="E2" s="42"/>
      <x:c r="F2" s="42"/>
      <x:c r="G2" s="42"/>
      <x:c r="H2" s="42"/>
      <x:c r="I2" s="42"/>
      <x:c r="J2" s="42"/>
    </x:row>
    <x:row r="3">
      <x:c r="A3" s="43"/>
      <x:c r="B3" s="43"/>
      <x:c r="C3" s="43"/>
      <x:c r="D3" s="43"/>
      <x:c r="E3" s="43"/>
      <x:c r="F3" s="43"/>
      <x:c r="G3" s="43"/>
      <x:c r="H3" s="43"/>
      <x:c r="I3" s="43"/>
      <x:c r="J3" s="43"/>
    </x:row>
    <x:row r="4">
      <x:c r="A4" s="15" t="str">
        <x:v>Metric</x:v>
      </x:c>
      <x:c r="B4" s="15" t="str">
        <x:v>2026</x:v>
      </x:c>
      <x:c r="C4" s="15" t="str">
        <x:v>2027</x:v>
      </x:c>
      <x:c r="D4" s="15" t="str">
        <x:v>2028</x:v>
      </x:c>
      <x:c r="E4" s="15" t="str">
        <x:v>2029</x:v>
      </x:c>
      <x:c r="F4" s="43"/>
      <x:c r="G4" s="15" t="str">
        <x:v>Key safeguard</x:v>
      </x:c>
      <x:c r="H4" s="15" t="str">
        <x:v>Model treatment</x:v>
      </x:c>
      <x:c r="I4" s="15" t="str">
        <x:v>Investor relevance</x:v>
      </x:c>
      <x:c r="J4" s="15" t="str">
        <x:v>Disclosure status</x:v>
      </x:c>
    </x:row>
    <x:row r="5">
      <x:c r="A5" s="43" t="str">
        <x:v>Convertible Note Proceeds</x:v>
      </x:c>
      <x:c r="B5" s="44" t="n">
        <x:f>SUM('Cash Flow'!B11:B11)</x:f>
        <x:v>150000</x:v>
      </x:c>
      <x:c r="C5" s="44" t="n">
        <x:f>SUM('Cash Flow'!C11:N11)</x:f>
        <x:v>2850000</x:v>
      </x:c>
      <x:c r="D5" s="44" t="n">
        <x:f>SUM('Cash Flow'!O11:Z11)</x:f>
        <x:v>0</x:v>
      </x:c>
      <x:c r="E5" s="44" t="n">
        <x:f>SUM('Cash Flow'!AA11:AL11)</x:f>
        <x:v>0</x:v>
      </x:c>
      <x:c r="F5" s="43"/>
      <x:c r="G5" s="43" t="str">
        <x:v>Hybrid coupon</x:v>
      </x:c>
      <x:c r="H5" s="43" t="str">
        <x:v>4% cash + 5% PIK</x:v>
      </x:c>
      <x:c r="I5" s="43" t="str">
        <x:v>Preserves cash; PIK increases note balance</x:v>
      </x:c>
      <x:c r="J5" s="43" t="str">
        <x:v>Proposed</x:v>
      </x:c>
    </x:row>
    <x:row r="6">
      <x:c r="A6" s="43" t="str">
        <x:v>Gross Revenue</x:v>
      </x:c>
      <x:c r="B6" s="44" t="n">
        <x:f>SUM('Revenue Model'!B10:B10)</x:f>
        <x:v>0</x:v>
      </x:c>
      <x:c r="C6" s="44" t="n">
        <x:f>SUM('Revenue Model'!C10:N10)</x:f>
        <x:v>1392000</x:v>
      </x:c>
      <x:c r="D6" s="44" t="n">
        <x:f>SUM('Revenue Model'!O10:Z10)</x:f>
        <x:v>2765070</x:v>
      </x:c>
      <x:c r="E6" s="44" t="n">
        <x:f>SUM('Revenue Model'!AA10:AL10)</x:f>
        <x:v>4055436</x:v>
      </x:c>
      <x:c r="F6" s="43"/>
      <x:c r="G6" s="43" t="str">
        <x:v>Milestone funding</x:v>
      </x:c>
      <x:c r="H6" s="43" t="str">
        <x:v>$1.25M Phase 1 + $1.75M Phase 2</x:v>
      </x:c>
      <x:c r="I6" s="43" t="str">
        <x:v>Phase 2 depends on $1.0M ARR run-rate</x:v>
      </x:c>
      <x:c r="J6" s="43" t="str">
        <x:v>Proposed</x:v>
      </x:c>
    </x:row>
    <x:row r="7">
      <x:c r="A7" s="43" t="str">
        <x:v>Net Revenue</x:v>
      </x:c>
      <x:c r="B7" s="44" t="n">
        <x:f>SUM('Revenue Model'!B12:B12)</x:f>
        <x:v>0</x:v>
      </x:c>
      <x:c r="C7" s="44" t="n">
        <x:f>SUM('Revenue Model'!C12:N12)</x:f>
        <x:v>1364160</x:v>
      </x:c>
      <x:c r="D7" s="44" t="n">
        <x:f>SUM('Revenue Model'!O12:Z12)</x:f>
        <x:v>2709768.5999999996</x:v>
      </x:c>
      <x:c r="E7" s="44" t="n">
        <x:f>SUM('Revenue Model'!AA12:AL12)</x:f>
        <x:v>3974327.28</x:v>
      </x:c>
      <x:c r="F7" s="43"/>
      <x:c r="G7" s="43" t="str">
        <x:v>Conversion terms</x:v>
      </x:c>
      <x:c r="H7" s="43" t="str">
        <x:v>20% discount / $12M cap / $5M trigger</x:v>
      </x:c>
      <x:c r="I7" s="43" t="str">
        <x:v>No conversion event forecast through 2029</x:v>
      </x:c>
      <x:c r="J7" s="43" t="str">
        <x:v>Illustrative</x:v>
      </x:c>
    </x:row>
    <x:row r="8">
      <x:c r="A8" s="51" t="str">
        <x:v>Gross Contribution</x:v>
      </x:c>
      <x:c r="B8" s="52" t="n">
        <x:f>SUM('Revenue Model'!B14:B14)</x:f>
        <x:v>0</x:v>
      </x:c>
      <x:c r="C8" s="52" t="n">
        <x:f>SUM('Revenue Model'!C14:N14)</x:f>
        <x:v>1088060</x:v>
      </x:c>
      <x:c r="D8" s="52" t="n">
        <x:f>SUM('Revenue Model'!O14:Z14)</x:f>
        <x:v>2134182.6</x:v>
      </x:c>
      <x:c r="E8" s="52" t="n">
        <x:f>SUM('Revenue Model'!AA14:AL14)</x:f>
        <x:v>3130134.48</x:v>
      </x:c>
      <x:c r="F8" s="43"/>
      <x:c r="G8" s="43" t="str">
        <x:v>Client growth</x:v>
      </x:c>
      <x:c r="H8" s="43" t="str">
        <x:v>12 / 18 / 24 ending clients</x:v>
      </x:c>
      <x:c r="I8" s="43" t="str">
        <x:v>Links growth capital to operating scale</x:v>
      </x:c>
      <x:c r="J8" s="43" t="str">
        <x:v>Implemented</x:v>
      </x:c>
    </x:row>
    <x:row r="9">
      <x:c r="A9" s="43" t="str">
        <x:v>Operating Expenses</x:v>
      </x:c>
      <x:c r="B9" s="44" t="n">
        <x:f>SUM('Operating Model'!B13:B13)</x:f>
        <x:v>-42500</x:v>
      </x:c>
      <x:c r="C9" s="44" t="n">
        <x:f>SUM('Operating Model'!C13:N13)</x:f>
        <x:v>-1540000</x:v>
      </x:c>
      <x:c r="D9" s="44" t="n">
        <x:f>SUM('Operating Model'!O13:Z13)</x:f>
        <x:v>-1694000</x:v>
      </x:c>
      <x:c r="E9" s="44" t="n">
        <x:f>SUM('Operating Model'!AA13:AL13)</x:f>
        <x:v>-1863400.0000000002</x:v>
      </x:c>
      <x:c r="F9" s="43"/>
      <x:c r="G9" s="43" t="str">
        <x:v>Sales funnel</x:v>
      </x:c>
      <x:c r="H9" s="43" t="str">
        <x:v>Leads → demos → pilots → clients</x:v>
      </x:c>
      <x:c r="I9" s="43" t="str">
        <x:v>Requires CRM and contract evidence</x:v>
      </x:c>
      <x:c r="J9" s="43" t="str">
        <x:v>Implemented</x:v>
      </x:c>
    </x:row>
    <x:row r="10">
      <x:c r="A10" s="51" t="str">
        <x:v>Operating Income</x:v>
      </x:c>
      <x:c r="B10" s="52" t="n">
        <x:f>SUM('Income Statement'!B8:B8)</x:f>
        <x:v>-42500</x:v>
      </x:c>
      <x:c r="C10" s="52" t="n">
        <x:f>SUM('Income Statement'!C8:N8)</x:f>
        <x:v>-451940</x:v>
      </x:c>
      <x:c r="D10" s="52" t="n">
        <x:f>SUM('Income Statement'!O8:Z8)</x:f>
        <x:v>440182.59999999974</x:v>
      </x:c>
      <x:c r="E10" s="52" t="n">
        <x:f>SUM('Income Statement'!AA8:AL8)</x:f>
        <x:v>1266734.48</x:v>
      </x:c>
      <x:c r="F10" s="43"/>
      <x:c r="G10" s="43" t="str">
        <x:v>Operating cash flow</x:v>
      </x:c>
      <x:c r="H10" s="43" t="str">
        <x:v>Shown excluding financing</x:v>
      </x:c>
      <x:c r="I10" s="43" t="str">
        <x:v>Separates economics from fundraising</x:v>
      </x:c>
      <x:c r="J10" s="43" t="str">
        <x:v>Implemented</x:v>
      </x:c>
    </x:row>
    <x:row r="11">
      <x:c r="A11" s="43" t="str">
        <x:v>Interest Expense (accrued)</x:v>
      </x:c>
      <x:c r="B11" s="44" t="n">
        <x:f>SUM('Income Statement'!B9:B9)</x:f>
        <x:v>-1146.5753424657535</x:v>
      </x:c>
      <x:c r="C11" s="44" t="n">
        <x:f>SUM('Income Statement'!C9:N9)</x:f>
        <x:v>-167042.46575342465</x:v>
      </x:c>
      <x:c r="D11" s="44" t="n">
        <x:f>SUM('Income Statement'!O9:Z9)</x:f>
        <x:v>-270739.72602739726</x:v>
      </x:c>
      <x:c r="E11" s="44" t="n">
        <x:f>SUM('Income Statement'!AA9:AL9)</x:f>
        <x:v>-270000.00000000006</x:v>
      </x:c>
      <x:c r="F11" s="43"/>
      <x:c r="G11" s="43" t="str">
        <x:v>Section 163(j)</x:v>
      </x:c>
      <x:c r="H11" s="43" t="str">
        <x:v>30% ATI stress test</x:v>
      </x:c>
      <x:c r="I11" s="43" t="str">
        <x:v>Small-business exception not concluded</x:v>
      </x:c>
      <x:c r="J11" s="43" t="str">
        <x:v>Implemented</x:v>
      </x:c>
    </x:row>
    <x:row r="12">
      <x:c r="A12" s="43" t="str">
        <x:v>Income Tax Provision</x:v>
      </x:c>
      <x:c r="B12" s="44" t="n">
        <x:f>SUM('Income Statement'!B11:B11)</x:f>
        <x:v>0</x:v>
      </x:c>
      <x:c r="C12" s="44" t="n">
        <x:f>SUM('Income Statement'!C11:N11)</x:f>
        <x:v>0</x:v>
      </x:c>
      <x:c r="D12" s="44" t="n">
        <x:f>SUM('Income Statement'!O11:Z11)</x:f>
        <x:v>-80113.23319999996</x:v>
      </x:c>
      <x:c r="E12" s="44" t="n">
        <x:f>SUM('Income Statement'!AA11:AL11)</x:f>
        <x:v>-259150.96480000002</x:v>
      </x:c>
      <x:c r="F12" s="43"/>
      <x:c r="G12" s="43" t="str">
        <x:v>Professional review</x:v>
      </x:c>
      <x:c r="H12" s="43" t="str">
        <x:v>PPM, note, ASC 606/815 and tax</x:v>
      </x:c>
      <x:c r="I12" s="43" t="str">
        <x:v>Final documents remain subject to advisers</x:v>
      </x:c>
      <x:c r="J12" s="43" t="str">
        <x:v>Required</x:v>
      </x:c>
    </x:row>
    <x:row r="13">
      <x:c r="A13" s="51" t="str">
        <x:v>Net Income</x:v>
      </x:c>
      <x:c r="B13" s="52" t="n">
        <x:f>SUM('Income Statement'!B12:B12)</x:f>
        <x:v>-43646.57534246575</x:v>
      </x:c>
      <x:c r="C13" s="52" t="n">
        <x:f>SUM('Income Statement'!C12:N12)</x:f>
        <x:v>-618982.4657534246</x:v>
      </x:c>
      <x:c r="D13" s="52" t="n">
        <x:f>SUM('Income Statement'!O12:Z12)</x:f>
        <x:v>89329.64077260252</x:v>
      </x:c>
      <x:c r="E13" s="52" t="n">
        <x:f>SUM('Income Statement'!AA12:AL12)</x:f>
        <x:v>737583.5151999997</x:v>
      </x:c>
      <x:c r="F13" s="43"/>
      <x:c r="G13" s="43"/>
      <x:c r="H13" s="43"/>
      <x:c r="I13" s="43"/>
      <x:c r="J13" s="43"/>
    </x:row>
    <x:row r="14">
      <x:c r="A14" s="51" t="str">
        <x:v>Ending Cash</x:v>
      </x:c>
      <x:c r="B14" s="52" t="n">
        <x:f>'Cash Flow'!B15</x:f>
        <x:v>106990.4109589041</x:v>
      </x:c>
      <x:c r="C14" s="52" t="n">
        <x:f>'Cash Flow'!N15</x:f>
        <x:v>2430809.315068493</x:v>
      </x:c>
      <x:c r="D14" s="52" t="n">
        <x:f>'Cash Flow'!Z15</x:f>
        <x:v>2670549.914745203</x:v>
      </x:c>
      <x:c r="E14" s="52" t="n">
        <x:f>'Cash Flow'!AL15</x:f>
        <x:v>3558133.4299452035</x:v>
      </x:c>
      <x:c r="F14" s="43"/>
      <x:c r="G14" s="49" t="str">
        <x:v>Forward-looking statement: These projections are management estimates, not guarantees. They assume successful fundraising, client acquisition, pricing, collections, cost control, and continued operations. Actual results may differ materially. Rule 506(c), note terms, tax treatment, and final PPM disclosures require qualified legal and accounting review.</x:v>
      </x:c>
      <x:c r="H14" s="49"/>
      <x:c r="I14" s="49"/>
      <x:c r="J14" s="49"/>
    </x:row>
    <x:row r="15">
      <x:c r="A15" s="51" t="str">
        <x:v>Outstanding Note Principal</x:v>
      </x:c>
      <x:c r="B15" s="52" t="n">
        <x:f>'Cash Flow'!B18</x:f>
        <x:v>150636.98630136985</x:v>
      </x:c>
      <x:c r="C15" s="52" t="n">
        <x:f>'Cash Flow'!N18</x:f>
        <x:v>3093438.3561643837</x:v>
      </x:c>
      <x:c r="D15" s="52" t="n">
        <x:f>'Cash Flow'!Z18</x:f>
        <x:v>3243849.315068493</x:v>
      </x:c>
      <x:c r="E15" s="52" t="n">
        <x:f>'Cash Flow'!AL18</x:f>
        <x:v>3393849.315068493</x:v>
      </x:c>
      <x:c r="F15" s="43"/>
      <x:c r="G15" s="49"/>
      <x:c r="H15" s="49"/>
      <x:c r="I15" s="49"/>
      <x:c r="J15" s="49"/>
    </x:row>
    <x:row r="16">
      <x:c r="A16" s="43"/>
      <x:c r="B16" s="43"/>
      <x:c r="C16" s="43"/>
      <x:c r="D16" s="43"/>
      <x:c r="E16" s="43"/>
      <x:c r="F16" s="43"/>
      <x:c r="G16" s="49"/>
      <x:c r="H16" s="49"/>
      <x:c r="I16" s="49"/>
      <x:c r="J16" s="49"/>
    </x:row>
    <x:row r="17">
      <x:c r="A17" s="15" t="str">
        <x:v>Scenario</x:v>
      </x:c>
      <x:c r="B17" s="15" t="str">
        <x:v>2027 Revenue</x:v>
      </x:c>
      <x:c r="C17" s="15" t="str">
        <x:v>Target Attainment</x:v>
      </x:c>
      <x:c r="D17" s="15" t="str">
        <x:v>2027 Clients</x:v>
      </x:c>
      <x:c r="E17" s="15" t="str">
        <x:v>Status</x:v>
      </x:c>
      <x:c r="F17" s="43"/>
      <x:c r="G17" s="43"/>
      <x:c r="H17" s="43"/>
      <x:c r="I17" s="43"/>
      <x:c r="J17" s="43"/>
    </x:row>
    <x:row r="18">
      <x:c r="A18" s="43" t="str">
        <x:f>'Scenario Analysis'!A5</x:f>
        <x:v>Downside</x:v>
      </x:c>
      <x:c r="B18" s="44" t="n">
        <x:f>'Scenario Analysis'!D5</x:f>
        <x:v>388080</x:v>
      </x:c>
      <x:c r="C18" s="45" t="n">
        <x:f>'Scenario Analysis'!E5</x:f>
        <x:v>0.12936</x:v>
      </x:c>
      <x:c r="D18" s="43" t="n">
        <x:f>'Scenario Analysis'!B5</x:f>
        <x:v>6</x:v>
      </x:c>
      <x:c r="E18" s="43" t="str">
        <x:v>Stress case</x:v>
      </x:c>
      <x:c r="F18" s="43"/>
      <x:c r="G18" s="43"/>
      <x:c r="H18" s="43"/>
      <x:c r="I18" s="43"/>
      <x:c r="J18" s="43"/>
    </x:row>
    <x:row r="19">
      <x:c r="A19" s="43" t="str">
        <x:f>'Scenario Analysis'!A6</x:f>
        <x:v>Base</x:v>
      </x:c>
      <x:c r="B19" s="44" t="n">
        <x:f>'Scenario Analysis'!D6</x:f>
        <x:v>1392000</x:v>
      </x:c>
      <x:c r="C19" s="45" t="n">
        <x:f>'Scenario Analysis'!E6</x:f>
        <x:v>0.464</x:v>
      </x:c>
      <x:c r="D19" s="43" t="n">
        <x:f>'Scenario Analysis'!B6</x:f>
        <x:v>12</x:v>
      </x:c>
      <x:c r="E19" s="43" t="str">
        <x:v>Primary forecast</x:v>
      </x:c>
      <x:c r="F19" s="43"/>
      <x:c r="G19" s="43"/>
      <x:c r="H19" s="43"/>
      <x:c r="I19" s="43"/>
      <x:c r="J19" s="43"/>
    </x:row>
    <x:row r="20">
      <x:c r="A20" s="43" t="str">
        <x:f>'Scenario Analysis'!A7</x:f>
        <x:v>Management</x:v>
      </x:c>
      <x:c r="B20" s="44" t="n">
        <x:f>'Scenario Analysis'!D7</x:f>
        <x:v>3000000</x:v>
      </x:c>
      <x:c r="C20" s="45" t="n">
        <x:f>'Scenario Analysis'!E7</x:f>
        <x:v>1</x:v>
      </x:c>
      <x:c r="D20" s="43" t="n">
        <x:f>'Scenario Analysis'!B7</x:f>
        <x:v>18</x:v>
      </x:c>
      <x:c r="E20" s="43" t="str">
        <x:v>Aspirational target</x:v>
      </x:c>
      <x:c r="F20" s="43"/>
      <x:c r="G20" s="43"/>
      <x:c r="H20" s="43"/>
      <x:c r="I20" s="43"/>
      <x:c r="J20" s="43"/>
    </x:row>
  </x:sheetData>
  <x:mergeCells>
    <x:mergeCell ref="A1:J1"/>
    <x:mergeCell ref="A2:J2"/>
    <x:mergeCell ref="G14:J16"/>
  </x:mergeCells>
  <x:pageMargins left="0.7" right="0.7" top="0.75" bottom="0.75" header="0.3" footer="0.3"/>
</x:worksheet>
</file>